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ГТУ\ИБМ3\БазыДан\"/>
    </mc:Choice>
  </mc:AlternateContent>
  <xr:revisionPtr revIDLastSave="0" documentId="13_ncr:1_{770FB0F8-2E17-4361-81F1-34D3E123647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Модели данных" sheetId="1" r:id="rId1"/>
    <sheet name="Базы данных" sheetId="10" r:id="rId2"/>
    <sheet name="Имена" sheetId="2" state="hidden" r:id="rId3"/>
    <sheet name="Пол" sheetId="3" state="hidden" r:id="rId4"/>
  </sheets>
  <definedNames>
    <definedName name="_xlcn.WorksheetConnection_Книга1Список1" hidden="1">Список[]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Список" name="Список" connection="WorksheetConnection_Книга1!Список"/>
        </x15:modelTables>
      </x15:dataModel>
    </ext>
  </extLst>
</workbook>
</file>

<file path=xl/calcChain.xml><?xml version="1.0" encoding="utf-8"?>
<calcChain xmlns="http://schemas.openxmlformats.org/spreadsheetml/2006/main">
  <c r="T33" i="10" l="1"/>
  <c r="U12" i="10"/>
  <c r="U7" i="10"/>
  <c r="U27" i="10" l="1"/>
  <c r="U18" i="10" l="1"/>
  <c r="U17" i="10"/>
  <c r="U13" i="10" l="1"/>
  <c r="R34" i="10"/>
  <c r="R35" i="10"/>
  <c r="R36" i="10"/>
  <c r="R37" i="10"/>
  <c r="Q35" i="10"/>
  <c r="Q36" i="10"/>
  <c r="Q37" i="10"/>
  <c r="R33" i="10"/>
  <c r="X32" i="10"/>
  <c r="U26" i="10"/>
  <c r="U29" i="10"/>
  <c r="L37" i="10" l="1"/>
  <c r="M37" i="10"/>
  <c r="N37" i="10"/>
  <c r="O37" i="10"/>
  <c r="P37" i="10"/>
  <c r="K37" i="10"/>
  <c r="K36" i="10"/>
  <c r="L36" i="10"/>
  <c r="M36" i="10"/>
  <c r="N36" i="10"/>
  <c r="O36" i="10"/>
  <c r="P36" i="10"/>
  <c r="J35" i="10"/>
  <c r="K35" i="10"/>
  <c r="L35" i="10"/>
  <c r="M35" i="10"/>
  <c r="N35" i="10"/>
  <c r="O35" i="10"/>
  <c r="P35" i="10"/>
  <c r="I35" i="10"/>
  <c r="J34" i="10"/>
  <c r="K34" i="10"/>
  <c r="L34" i="10"/>
  <c r="M34" i="10"/>
  <c r="N34" i="10"/>
  <c r="O34" i="10"/>
  <c r="P34" i="10"/>
  <c r="Q34" i="10"/>
  <c r="I34" i="10"/>
  <c r="J33" i="10"/>
  <c r="K33" i="10"/>
  <c r="L33" i="10"/>
  <c r="M33" i="10"/>
  <c r="N33" i="10"/>
  <c r="O33" i="10"/>
  <c r="P33" i="10"/>
  <c r="Q33" i="10"/>
  <c r="I33" i="10"/>
  <c r="H33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U30" i="10"/>
  <c r="U11" i="10"/>
  <c r="U8" i="10"/>
  <c r="U9" i="10"/>
  <c r="U15" i="10"/>
  <c r="U16" i="10"/>
  <c r="U24" i="10"/>
  <c r="U21" i="10"/>
  <c r="S5" i="10"/>
  <c r="S6" i="10"/>
  <c r="T6" i="10" s="1"/>
  <c r="S7" i="10"/>
  <c r="T7" i="10" s="1"/>
  <c r="S8" i="10"/>
  <c r="T8" i="10" s="1"/>
  <c r="S9" i="10"/>
  <c r="T9" i="10" s="1"/>
  <c r="S10" i="10"/>
  <c r="T10" i="10" s="1"/>
  <c r="S11" i="10"/>
  <c r="T11" i="10" s="1"/>
  <c r="S12" i="10"/>
  <c r="T12" i="10" s="1"/>
  <c r="S13" i="10"/>
  <c r="T13" i="10" s="1"/>
  <c r="S14" i="10"/>
  <c r="T14" i="10" s="1"/>
  <c r="S15" i="10"/>
  <c r="T15" i="10" s="1"/>
  <c r="S16" i="10"/>
  <c r="T16" i="10" s="1"/>
  <c r="S17" i="10"/>
  <c r="T17" i="10" s="1"/>
  <c r="Y17" i="10" s="1"/>
  <c r="S18" i="10"/>
  <c r="T18" i="10" s="1"/>
  <c r="S19" i="10"/>
  <c r="T19" i="10" s="1"/>
  <c r="S20" i="10"/>
  <c r="T20" i="10" s="1"/>
  <c r="S21" i="10"/>
  <c r="T21" i="10" s="1"/>
  <c r="S22" i="10"/>
  <c r="T22" i="10" s="1"/>
  <c r="S23" i="10"/>
  <c r="T23" i="10" s="1"/>
  <c r="S24" i="10"/>
  <c r="T24" i="10" s="1"/>
  <c r="Y24" i="10" s="1"/>
  <c r="S25" i="10"/>
  <c r="T25" i="10" s="1"/>
  <c r="Y25" i="10" s="1"/>
  <c r="S26" i="10"/>
  <c r="T26" i="10" s="1"/>
  <c r="S27" i="10"/>
  <c r="T27" i="10" s="1"/>
  <c r="S28" i="10"/>
  <c r="T28" i="10" s="1"/>
  <c r="S29" i="10"/>
  <c r="T29" i="10" s="1"/>
  <c r="S30" i="10"/>
  <c r="T30" i="10" s="1"/>
  <c r="S31" i="10"/>
  <c r="T31" i="10" s="1"/>
  <c r="Y31" i="10" s="1"/>
  <c r="J36" i="10"/>
  <c r="G33" i="10"/>
  <c r="T2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5" i="1"/>
  <c r="T26" i="1"/>
  <c r="T27" i="1"/>
  <c r="T28" i="1"/>
  <c r="T29" i="1"/>
  <c r="T30" i="1"/>
  <c r="T31" i="1"/>
  <c r="R32" i="1"/>
  <c r="S33" i="10" l="1"/>
  <c r="Y15" i="10"/>
  <c r="Y23" i="10"/>
  <c r="Y8" i="10"/>
  <c r="Y30" i="10"/>
  <c r="Y22" i="10"/>
  <c r="Y7" i="10"/>
  <c r="Y12" i="10"/>
  <c r="Y28" i="10"/>
  <c r="Y20" i="10"/>
  <c r="E34" i="10"/>
  <c r="Y14" i="10"/>
  <c r="Y6" i="10"/>
  <c r="Y18" i="10"/>
  <c r="Y10" i="10"/>
  <c r="Y26" i="10"/>
  <c r="E37" i="10"/>
  <c r="Y16" i="10"/>
  <c r="U33" i="10"/>
  <c r="E33" i="10"/>
  <c r="Y29" i="10"/>
  <c r="Y21" i="10"/>
  <c r="Y13" i="10"/>
  <c r="E36" i="10"/>
  <c r="Y27" i="10"/>
  <c r="Y19" i="10"/>
  <c r="Y11" i="10"/>
  <c r="Y9" i="10"/>
  <c r="T5" i="10"/>
  <c r="Y5" i="10" s="1"/>
  <c r="E35" i="10"/>
  <c r="P35" i="1"/>
  <c r="P36" i="1"/>
  <c r="P34" i="1"/>
  <c r="P33" i="1"/>
  <c r="K35" i="1"/>
  <c r="M35" i="1"/>
  <c r="N35" i="1"/>
  <c r="L35" i="1"/>
  <c r="K34" i="1"/>
  <c r="L34" i="1"/>
  <c r="M34" i="1"/>
  <c r="N34" i="1"/>
  <c r="L33" i="1"/>
  <c r="M33" i="1"/>
  <c r="N33" i="1"/>
  <c r="L32" i="1"/>
  <c r="M32" i="1"/>
  <c r="N32" i="1"/>
  <c r="K33" i="1"/>
  <c r="K32" i="1"/>
  <c r="P32" i="1"/>
  <c r="J33" i="1"/>
  <c r="J32" i="1"/>
  <c r="I32" i="1"/>
  <c r="H3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8" i="1"/>
  <c r="O27" i="1"/>
  <c r="O29" i="1"/>
  <c r="O30" i="1"/>
  <c r="O31" i="1"/>
  <c r="F32" i="1" l="1"/>
  <c r="F33" i="1"/>
  <c r="F34" i="1"/>
  <c r="F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Книга1!Список" type="102" refreshedVersion="8" minRefreshableVersion="5">
    <extLst>
      <ext xmlns:x15="http://schemas.microsoft.com/office/spreadsheetml/2010/11/main" uri="{DE250136-89BD-433C-8126-D09CA5730AF9}">
        <x15:connection id="Список" autoDelete="1">
          <x15:rangePr sourceName="_xlcn.WorksheetConnection_Книга1Список1"/>
        </x15:connection>
      </ext>
    </extLst>
  </connection>
</connections>
</file>

<file path=xl/sharedStrings.xml><?xml version="1.0" encoding="utf-8"?>
<sst xmlns="http://schemas.openxmlformats.org/spreadsheetml/2006/main" count="367" uniqueCount="112">
  <si>
    <t>Атаманова Софья</t>
  </si>
  <si>
    <t>Ахадова Диера</t>
  </si>
  <si>
    <t>Фамилия, имя</t>
  </si>
  <si>
    <t>№</t>
  </si>
  <si>
    <t>Бабченко Елизавета</t>
  </si>
  <si>
    <t>Волкова Варвара</t>
  </si>
  <si>
    <t>Гаврилова Анна</t>
  </si>
  <si>
    <t>Гаммал Дмитрий</t>
  </si>
  <si>
    <t>Головастикова Полина</t>
  </si>
  <si>
    <t>Горбунова Вероника</t>
  </si>
  <si>
    <t>Коваленко Елизавета</t>
  </si>
  <si>
    <t>Кольцова Анастасия</t>
  </si>
  <si>
    <t>Крючков Даниил</t>
  </si>
  <si>
    <t>Мельникова Полина</t>
  </si>
  <si>
    <t>Митрохина Анастасия</t>
  </si>
  <si>
    <t>Михайлова Виктория</t>
  </si>
  <si>
    <t>Осипов Даниил</t>
  </si>
  <si>
    <t>Прищенко Артём</t>
  </si>
  <si>
    <t>Рак Андрей</t>
  </si>
  <si>
    <t>Рытикова Кирена</t>
  </si>
  <si>
    <t>Сигорский Александр</t>
  </si>
  <si>
    <t>Субочев Иван</t>
  </si>
  <si>
    <t>Уйданов Лев</t>
  </si>
  <si>
    <t>Цугель Арсений</t>
  </si>
  <si>
    <t>Хабибулин Данил</t>
  </si>
  <si>
    <t>Щетинина Анна</t>
  </si>
  <si>
    <t>Якубович Анна</t>
  </si>
  <si>
    <t>Янбухтина Мария</t>
  </si>
  <si>
    <t>ж</t>
  </si>
  <si>
    <t>м</t>
  </si>
  <si>
    <t>Софья</t>
  </si>
  <si>
    <t>Диера</t>
  </si>
  <si>
    <t>Елизавета</t>
  </si>
  <si>
    <t>Варвара</t>
  </si>
  <si>
    <t>Анна</t>
  </si>
  <si>
    <t>Дмитрий</t>
  </si>
  <si>
    <t>Полина</t>
  </si>
  <si>
    <t>Вероника</t>
  </si>
  <si>
    <t>Богдан</t>
  </si>
  <si>
    <t>Анастасия</t>
  </si>
  <si>
    <t>Даниил</t>
  </si>
  <si>
    <t>Виктория</t>
  </si>
  <si>
    <t>Артём</t>
  </si>
  <si>
    <t>Андрей</t>
  </si>
  <si>
    <t>Кирена</t>
  </si>
  <si>
    <t>Александр</t>
  </si>
  <si>
    <t>Иван</t>
  </si>
  <si>
    <t>Лев</t>
  </si>
  <si>
    <t>Арсений</t>
  </si>
  <si>
    <t>Данил</t>
  </si>
  <si>
    <t>Мария</t>
  </si>
  <si>
    <t>Имя</t>
  </si>
  <si>
    <t>Названия строк</t>
  </si>
  <si>
    <t>Общий итог</t>
  </si>
  <si>
    <t>Число элементов в столбце Имя</t>
  </si>
  <si>
    <t xml:space="preserve">Самые частые </t>
  </si>
  <si>
    <t>2024 год</t>
  </si>
  <si>
    <t>2021-2022</t>
  </si>
  <si>
    <t>Пол</t>
  </si>
  <si>
    <t>Число элементов в столбце Пол</t>
  </si>
  <si>
    <t>08.сен</t>
  </si>
  <si>
    <t>22.сен</t>
  </si>
  <si>
    <t>06.окт</t>
  </si>
  <si>
    <t>Лаб.1</t>
  </si>
  <si>
    <t>20.окт</t>
  </si>
  <si>
    <t>Вар. ЛР</t>
  </si>
  <si>
    <t>27.окт</t>
  </si>
  <si>
    <t>Лаб.2</t>
  </si>
  <si>
    <t>17.ноя</t>
  </si>
  <si>
    <t>Лаб.3</t>
  </si>
  <si>
    <t>РК</t>
  </si>
  <si>
    <t>01.дек</t>
  </si>
  <si>
    <t>Лаб.4</t>
  </si>
  <si>
    <t>22.дек</t>
  </si>
  <si>
    <t>15.дек</t>
  </si>
  <si>
    <t>Дебуля Богдан</t>
  </si>
  <si>
    <t>*</t>
  </si>
  <si>
    <t>+</t>
  </si>
  <si>
    <t>Встреч</t>
  </si>
  <si>
    <t>ЛР1</t>
  </si>
  <si>
    <t>ЛР2</t>
  </si>
  <si>
    <t>ЛР3</t>
  </si>
  <si>
    <t>ЛР4</t>
  </si>
  <si>
    <t>Выполнение практикума по курсу "Модели данных" студентами группы ИБМ3-34Б (2025)</t>
  </si>
  <si>
    <t>Баллы2</t>
  </si>
  <si>
    <t>Баллы1</t>
  </si>
  <si>
    <t>ДЗ</t>
  </si>
  <si>
    <t>Баллы3</t>
  </si>
  <si>
    <t>Самойлюк Владислав</t>
  </si>
  <si>
    <t>Сергеева Майя</t>
  </si>
  <si>
    <t>14.фев</t>
  </si>
  <si>
    <t>28.фев</t>
  </si>
  <si>
    <t>14.мар</t>
  </si>
  <si>
    <t>21.мар</t>
  </si>
  <si>
    <t>28.мар</t>
  </si>
  <si>
    <t>04.апр</t>
  </si>
  <si>
    <t>11.апр</t>
  </si>
  <si>
    <t>18.апр</t>
  </si>
  <si>
    <t>25.апр</t>
  </si>
  <si>
    <t>16.май</t>
  </si>
  <si>
    <t>23.май</t>
  </si>
  <si>
    <t>30.май</t>
  </si>
  <si>
    <t>Выполнение практикума по курсу "Базы данных" студентами группы ИБМ3-34Б (2025)</t>
  </si>
  <si>
    <t>ЛР5</t>
  </si>
  <si>
    <t>ЛР</t>
  </si>
  <si>
    <t>Курсовая</t>
  </si>
  <si>
    <t>Всего</t>
  </si>
  <si>
    <t>ПЗ</t>
  </si>
  <si>
    <t>РП</t>
  </si>
  <si>
    <t xml:space="preserve"> </t>
  </si>
  <si>
    <t>06.июн</t>
  </si>
  <si>
    <t>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</si>
</sst>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rgb="FF002060"/>
      <name val="Arial"/>
      <family val="2"/>
      <charset val="204"/>
    </font>
    <font>
      <strike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sz val="10"/>
      <color theme="1"/>
      <name val="Calibri Light"/>
      <family val="2"/>
      <charset val="204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9" fontId="0" fillId="0" borderId="0" xfId="0" applyNumberFormat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6" fontId="0" fillId="0" borderId="0" xfId="0" applyNumberFormat="1"/>
    <xf numFmtId="0" fontId="0" fillId="0" borderId="0" xfId="0" applyAlignment="1">
      <alignment horizontal="center"/>
    </xf>
    <xf numFmtId="0" fontId="0" fillId="5" borderId="3" xfId="0" applyFill="1" applyBorder="1" applyAlignment="1">
      <alignment horizontal="center" wrapText="1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0" borderId="1" xfId="0" applyFont="1" applyBorder="1"/>
    <xf numFmtId="0" fontId="0" fillId="3" borderId="0" xfId="0" quotePrefix="1" applyFill="1" applyAlignment="1">
      <alignment horizontal="center" vertical="center"/>
    </xf>
    <xf numFmtId="0" fontId="0" fillId="3" borderId="0" xfId="0" applyFill="1" applyAlignment="1">
      <alignment horizontal="center"/>
    </xf>
    <xf numFmtId="16" fontId="2" fillId="7" borderId="0" xfId="0" applyNumberFormat="1" applyFont="1" applyFill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4" xfId="0" applyBorder="1"/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/>
    <xf numFmtId="14" fontId="7" fillId="0" borderId="0" xfId="0" applyNumberFormat="1" applyFont="1"/>
    <xf numFmtId="16" fontId="7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Обычный" xfId="0" builtinId="0"/>
  </cellStyles>
  <dxfs count="55">
    <dxf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 diagonalUp="0" diagonalDown="0" outline="0">
        <left/>
        <right/>
        <top style="thin">
          <color indexed="64"/>
        </top>
        <bottom/>
      </border>
    </dxf>
    <dxf>
      <numFmt numFmtId="0" formatCode="General"/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top style="thin">
          <color indexed="64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00.011538773149" backgroundQuery="1" createdVersion="8" refreshedVersion="8" minRefreshableVersion="3" recordCount="0" supportSubquery="1" supportAdvancedDrill="1" xr:uid="{00000000-000A-0000-FFFF-FFFF00000000}">
  <cacheSource type="external" connectionId="1"/>
  <cacheFields count="2">
    <cacheField name="[Список].[Имя].[Имя]" caption="Имя" numFmtId="0" hierarchy="2" level="1">
      <sharedItems count="21">
        <s v="Александр"/>
        <s v="Анастасия"/>
        <s v="Андрей"/>
        <s v="Анна"/>
        <s v="Арсений"/>
        <s v="Артём"/>
        <s v="Богдан"/>
        <s v="Варвара"/>
        <s v="Вероника"/>
        <s v="Виктория"/>
        <s v="Даниил"/>
        <s v="Данил"/>
        <s v="Диера"/>
        <s v="Дмитрий"/>
        <s v="Елизавета"/>
        <s v="Иван"/>
        <s v="Кирена"/>
        <s v="Лев"/>
        <s v="Мария"/>
        <s v="Полина"/>
        <s v="Софья"/>
      </sharedItems>
    </cacheField>
    <cacheField name="[Measures].[Число элементов в столбце Имя]" caption="Число элементов в столбце Имя" numFmtId="0" hierarchy="20" level="32767"/>
  </cacheFields>
  <cacheHierarchies count="22">
    <cacheHierarchy uniqueName="[Список].[№]" caption="№" attribute="1" defaultMemberUniqueName="[Список].[№].[All]" allUniqueName="[Список].[№].[All]" dimensionUniqueName="[Список]" displayFolder="" count="0" memberValueDatatype="20" unbalanced="0"/>
    <cacheHierarchy uniqueName="[Список].[Фамилия, имя]" caption="Фамилия, имя" attribute="1" defaultMemberUniqueName="[Список].[Фамилия, имя].[All]" allUniqueName="[Список].[Фамилия, имя].[All]" dimensionUniqueName="[Список]" displayFolder="" count="0" memberValueDatatype="130" unbalanced="0"/>
    <cacheHierarchy uniqueName="[Список].[Имя]" caption="Имя" attribute="1" defaultMemberUniqueName="[Список].[Имя].[All]" allUniqueName="[Список].[Имя].[All]" dimensionUniqueName="[Список]" displayFolder="" count="2" memberValueDatatype="130" unbalanced="0">
      <fieldsUsage count="2">
        <fieldUsage x="-1"/>
        <fieldUsage x="0"/>
      </fieldsUsage>
    </cacheHierarchy>
    <cacheHierarchy uniqueName="[Список].[Пол]" caption="Пол" attribute="1" defaultMemberUniqueName="[Список].[Пол].[All]" allUniqueName="[Список].[Пол].[All]" dimensionUniqueName="[Список]" displayFolder="" count="0" memberValueDatatype="130" unbalanced="0"/>
    <cacheHierarchy uniqueName="[Список].[Вар. ЛР]" caption="Вар. ЛР" attribute="1" defaultMemberUniqueName="[Список].[Вар. ЛР].[All]" allUniqueName="[Список].[Вар. ЛР].[All]" dimensionUniqueName="[Список]" displayFolder="" count="0" memberValueDatatype="130" unbalanced="0"/>
    <cacheHierarchy uniqueName="[Список].[08.сен]" caption="08.сен" attribute="1" defaultMemberUniqueName="[Список].[08.сен].[All]" allUniqueName="[Список].[08.сен].[All]" dimensionUniqueName="[Список]" displayFolder="" count="0" memberValueDatatype="130" unbalanced="0"/>
    <cacheHierarchy uniqueName="[Список].[22.сен]" caption="22.сен" attribute="1" defaultMemberUniqueName="[Список].[22.сен].[All]" allUniqueName="[Список].[22.сен].[All]" dimensionUniqueName="[Список]" displayFolder="" count="0" memberValueDatatype="130" unbalanced="0"/>
    <cacheHierarchy uniqueName="[Список].[06.окт]" caption="06.окт" attribute="1" defaultMemberUniqueName="[Список].[06.окт].[All]" allUniqueName="[Список].[06.окт].[All]" dimensionUniqueName="[Список]" displayFolder="" count="0" memberValueDatatype="130" unbalanced="0"/>
    <cacheHierarchy uniqueName="[Список].[20.окт]" caption="20.окт" attribute="1" defaultMemberUniqueName="[Список].[20.окт].[All]" allUniqueName="[Список].[20.окт].[All]" dimensionUniqueName="[Список]" displayFolder="" count="0" memberValueDatatype="130" unbalanced="0"/>
    <cacheHierarchy uniqueName="[Список].[17.ноя]" caption="17.ноя" attribute="1" defaultMemberUniqueName="[Список].[17.ноя].[All]" allUniqueName="[Список].[17.ноя].[All]" dimensionUniqueName="[Список]" displayFolder="" count="0" memberValueDatatype="130" unbalanced="0"/>
    <cacheHierarchy uniqueName="[Список].[01.дек]" caption="01.дек" attribute="1" defaultMemberUniqueName="[Список].[01.дек].[All]" allUniqueName="[Список].[01.дек].[All]" dimensionUniqueName="[Список]" displayFolder="" count="0" memberValueDatatype="130" unbalanced="0"/>
    <cacheHierarchy uniqueName="[Список].[15.дек]" caption="15.дек" attribute="1" defaultMemberUniqueName="[Список].[15.дек].[All]" allUniqueName="[Список].[15.дек].[All]" dimensionUniqueName="[Список]" displayFolder="" count="0" memberValueDatatype="130" unbalanced="0"/>
    <cacheHierarchy uniqueName="[Список].[22.дек]" caption="22.дек" attribute="1" defaultMemberUniqueName="[Список].[22.дек].[All]" allUniqueName="[Список].[22.дек].[All]" dimensionUniqueName="[Список]" displayFolder="" count="0" memberValueDatatype="130" unbalanced="0"/>
    <cacheHierarchy uniqueName="[Список].[Встреч]" caption="Встреч" attribute="1" defaultMemberUniqueName="[Список].[Встреч].[All]" allUniqueName="[Список].[Встреч].[All]" dimensionUniqueName="[Список]" displayFolder="" count="0" memberValueDatatype="20" unbalanced="0"/>
    <cacheHierarchy uniqueName="[Список].[27.окт]" caption="27.окт" attribute="1" defaultMemberUniqueName="[Список].[27.окт].[All]" allUniqueName="[Список].[27.окт].[All]" dimensionUniqueName="[Список]" displayFolder="" count="0" memberValueDatatype="20" unbalanced="0"/>
    <cacheHierarchy uniqueName="[Список].[Баллы1]" caption="Баллы1" attribute="1" defaultMemberUniqueName="[Список].[Баллы1].[All]" allUniqueName="[Список].[Баллы1].[All]" dimensionUniqueName="[Список]" displayFolder="" count="0" memberValueDatatype="20" unbalanced="0"/>
    <cacheHierarchy uniqueName="[Список].[Баллы2]" caption="Баллы2" attribute="1" defaultMemberUniqueName="[Список].[Баллы2].[All]" allUniqueName="[Список].[Баллы2].[All]" dimensionUniqueName="[Список]" displayFolder="" count="0" memberValueDatatype="20" unbalanced="0"/>
    <cacheHierarchy uniqueName="[Список].[ДЗ]" caption="ДЗ" attribute="1" defaultMemberUniqueName="[Список].[ДЗ].[All]" allUniqueName="[Список].[ДЗ].[All]" dimensionUniqueName="[Список]" displayFolder="" count="0" memberValueDatatype="20" unbalanced="0"/>
    <cacheHierarchy uniqueName="[Measures].[__XL_Count Список]" caption="__XL_Count Список" measure="1" displayFolder="" measureGroup="Список" count="0" hidden="1"/>
    <cacheHierarchy uniqueName="[Measures].[__No measures defined]" caption="__No measures defined" measure="1" displayFolder="" count="0" hidden="1"/>
    <cacheHierarchy uniqueName="[Measures].[Число элементов в столбце Имя]" caption="Число элементов в столбце Имя" measure="1" displayFolder="" measureGroup="Список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Число элементов в столбце Пол]" caption="Число элементов в столбце Пол" measure="1" displayFolder="" measureGroup="Список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Список" uniqueName="[Список]" caption="Список"/>
  </dimensions>
  <measureGroups count="1">
    <measureGroup name="Список" caption="Список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00.011540046296" backgroundQuery="1" createdVersion="8" refreshedVersion="8" minRefreshableVersion="3" recordCount="0" supportSubquery="1" supportAdvancedDrill="1" xr:uid="{00000000-000A-0000-FFFF-FFFF01000000}">
  <cacheSource type="external" connectionId="1"/>
  <cacheFields count="2">
    <cacheField name="[Список].[Пол].[Пол]" caption="Пол" numFmtId="0" hierarchy="3" level="1">
      <sharedItems count="2">
        <s v="ж"/>
        <s v="м"/>
      </sharedItems>
    </cacheField>
    <cacheField name="[Measures].[Число элементов в столбце Пол]" caption="Число элементов в столбце Пол" numFmtId="0" hierarchy="21" level="32767"/>
  </cacheFields>
  <cacheHierarchies count="22">
    <cacheHierarchy uniqueName="[Список].[№]" caption="№" attribute="1" defaultMemberUniqueName="[Список].[№].[All]" allUniqueName="[Список].[№].[All]" dimensionUniqueName="[Список]" displayFolder="" count="0" memberValueDatatype="20" unbalanced="0"/>
    <cacheHierarchy uniqueName="[Список].[Фамилия, имя]" caption="Фамилия, имя" attribute="1" defaultMemberUniqueName="[Список].[Фамилия, имя].[All]" allUniqueName="[Список].[Фамилия, имя].[All]" dimensionUniqueName="[Список]" displayFolder="" count="0" memberValueDatatype="130" unbalanced="0"/>
    <cacheHierarchy uniqueName="[Список].[Имя]" caption="Имя" attribute="1" defaultMemberUniqueName="[Список].[Имя].[All]" allUniqueName="[Список].[Имя].[All]" dimensionUniqueName="[Список]" displayFolder="" count="0" memberValueDatatype="130" unbalanced="0"/>
    <cacheHierarchy uniqueName="[Список].[Пол]" caption="Пол" attribute="1" defaultMemberUniqueName="[Список].[Пол].[All]" allUniqueName="[Список].[Пол].[All]" dimensionUniqueName="[Список]" displayFolder="" count="2" memberValueDatatype="130" unbalanced="0">
      <fieldsUsage count="2">
        <fieldUsage x="-1"/>
        <fieldUsage x="0"/>
      </fieldsUsage>
    </cacheHierarchy>
    <cacheHierarchy uniqueName="[Список].[Вар. ЛР]" caption="Вар. ЛР" attribute="1" defaultMemberUniqueName="[Список].[Вар. ЛР].[All]" allUniqueName="[Список].[Вар. ЛР].[All]" dimensionUniqueName="[Список]" displayFolder="" count="0" memberValueDatatype="130" unbalanced="0"/>
    <cacheHierarchy uniqueName="[Список].[08.сен]" caption="08.сен" attribute="1" defaultMemberUniqueName="[Список].[08.сен].[All]" allUniqueName="[Список].[08.сен].[All]" dimensionUniqueName="[Список]" displayFolder="" count="0" memberValueDatatype="130" unbalanced="0"/>
    <cacheHierarchy uniqueName="[Список].[22.сен]" caption="22.сен" attribute="1" defaultMemberUniqueName="[Список].[22.сен].[All]" allUniqueName="[Список].[22.сен].[All]" dimensionUniqueName="[Список]" displayFolder="" count="0" memberValueDatatype="130" unbalanced="0"/>
    <cacheHierarchy uniqueName="[Список].[06.окт]" caption="06.окт" attribute="1" defaultMemberUniqueName="[Список].[06.окт].[All]" allUniqueName="[Список].[06.окт].[All]" dimensionUniqueName="[Список]" displayFolder="" count="0" memberValueDatatype="130" unbalanced="0"/>
    <cacheHierarchy uniqueName="[Список].[20.окт]" caption="20.окт" attribute="1" defaultMemberUniqueName="[Список].[20.окт].[All]" allUniqueName="[Список].[20.окт].[All]" dimensionUniqueName="[Список]" displayFolder="" count="0" memberValueDatatype="130" unbalanced="0"/>
    <cacheHierarchy uniqueName="[Список].[17.ноя]" caption="17.ноя" attribute="1" defaultMemberUniqueName="[Список].[17.ноя].[All]" allUniqueName="[Список].[17.ноя].[All]" dimensionUniqueName="[Список]" displayFolder="" count="0" memberValueDatatype="130" unbalanced="0"/>
    <cacheHierarchy uniqueName="[Список].[01.дек]" caption="01.дек" attribute="1" defaultMemberUniqueName="[Список].[01.дек].[All]" allUniqueName="[Список].[01.дек].[All]" dimensionUniqueName="[Список]" displayFolder="" count="0" memberValueDatatype="130" unbalanced="0"/>
    <cacheHierarchy uniqueName="[Список].[15.дек]" caption="15.дек" attribute="1" defaultMemberUniqueName="[Список].[15.дек].[All]" allUniqueName="[Список].[15.дек].[All]" dimensionUniqueName="[Список]" displayFolder="" count="0" memberValueDatatype="130" unbalanced="0"/>
    <cacheHierarchy uniqueName="[Список].[22.дек]" caption="22.дек" attribute="1" defaultMemberUniqueName="[Список].[22.дек].[All]" allUniqueName="[Список].[22.дек].[All]" dimensionUniqueName="[Список]" displayFolder="" count="0" memberValueDatatype="130" unbalanced="0"/>
    <cacheHierarchy uniqueName="[Список].[Встреч]" caption="Встреч" attribute="1" defaultMemberUniqueName="[Список].[Встреч].[All]" allUniqueName="[Список].[Встреч].[All]" dimensionUniqueName="[Список]" displayFolder="" count="0" memberValueDatatype="20" unbalanced="0"/>
    <cacheHierarchy uniqueName="[Список].[27.окт]" caption="27.окт" attribute="1" defaultMemberUniqueName="[Список].[27.окт].[All]" allUniqueName="[Список].[27.окт].[All]" dimensionUniqueName="[Список]" displayFolder="" count="0" memberValueDatatype="20" unbalanced="0"/>
    <cacheHierarchy uniqueName="[Список].[Баллы1]" caption="Баллы1" attribute="1" defaultMemberUniqueName="[Список].[Баллы1].[All]" allUniqueName="[Список].[Баллы1].[All]" dimensionUniqueName="[Список]" displayFolder="" count="0" memberValueDatatype="20" unbalanced="0"/>
    <cacheHierarchy uniqueName="[Список].[Баллы2]" caption="Баллы2" attribute="1" defaultMemberUniqueName="[Список].[Баллы2].[All]" allUniqueName="[Список].[Баллы2].[All]" dimensionUniqueName="[Список]" displayFolder="" count="0" memberValueDatatype="20" unbalanced="0"/>
    <cacheHierarchy uniqueName="[Список].[ДЗ]" caption="ДЗ" attribute="1" defaultMemberUniqueName="[Список].[ДЗ].[All]" allUniqueName="[Список].[ДЗ].[All]" dimensionUniqueName="[Список]" displayFolder="" count="0" memberValueDatatype="20" unbalanced="0"/>
    <cacheHierarchy uniqueName="[Measures].[__XL_Count Список]" caption="__XL_Count Список" measure="1" displayFolder="" measureGroup="Список" count="0" hidden="1"/>
    <cacheHierarchy uniqueName="[Measures].[__No measures defined]" caption="__No measures defined" measure="1" displayFolder="" count="0" hidden="1"/>
    <cacheHierarchy uniqueName="[Measures].[Число элементов в столбце Имя]" caption="Число элементов в столбце Имя" measure="1" displayFolder="" measureGroup="Список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Число элементов в столбце Пол]" caption="Число элементов в столбце Пол" measure="1" displayFolder="" measureGroup="Список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Список" uniqueName="[Список]" caption="Список"/>
  </dimensions>
  <measureGroups count="1">
    <measureGroup name="Список" caption="Список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5" firstHeaderRow="1" firstDataRow="1" firstDataCol="1"/>
  <pivotFields count="2">
    <pivotField axis="axisRow" allDrilled="1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2">
    <i>
      <x v="3"/>
    </i>
    <i>
      <x v="14"/>
    </i>
    <i>
      <x v="19"/>
    </i>
    <i>
      <x v="1"/>
    </i>
    <i>
      <x v="10"/>
    </i>
    <i>
      <x v="20"/>
    </i>
    <i>
      <x v="16"/>
    </i>
    <i>
      <x v="2"/>
    </i>
    <i>
      <x v="6"/>
    </i>
    <i>
      <x v="18"/>
    </i>
    <i>
      <x v="7"/>
    </i>
    <i>
      <x v="13"/>
    </i>
    <i>
      <x v="8"/>
    </i>
    <i>
      <x v="15"/>
    </i>
    <i>
      <x v="9"/>
    </i>
    <i>
      <x v="17"/>
    </i>
    <i>
      <x/>
    </i>
    <i>
      <x v="4"/>
    </i>
    <i>
      <x v="11"/>
    </i>
    <i>
      <x v="5"/>
    </i>
    <i>
      <x v="12"/>
    </i>
    <i t="grand">
      <x/>
    </i>
  </rowItems>
  <colItems count="1">
    <i/>
  </colItems>
  <dataFields count="1">
    <dataField name="Число элементов в столбце Имя" fld="1" subtotal="count" baseField="0" baseItem="0"/>
  </dataFields>
  <formats count="19">
    <format dxfId="27">
      <pivotArea dataOnly="0" labelOnly="1" fieldPosition="0">
        <references count="1">
          <reference field="0" count="1">
            <x v="16"/>
          </reference>
        </references>
      </pivotArea>
    </format>
    <format dxfId="26">
      <pivotArea dataOnly="0" labelOnly="1" fieldPosition="0">
        <references count="1">
          <reference field="0" count="1">
            <x v="6"/>
          </reference>
        </references>
      </pivotArea>
    </format>
    <format dxfId="25">
      <pivotArea dataOnly="0" labelOnly="1" fieldPosition="0">
        <references count="1">
          <reference field="0" count="1">
            <x v="4"/>
          </reference>
        </references>
      </pivotArea>
    </format>
    <format dxfId="24">
      <pivotArea dataOnly="0" labelOnly="1" fieldPosition="0">
        <references count="1">
          <reference field="0" count="1">
            <x v="12"/>
          </reference>
        </references>
      </pivotArea>
    </format>
    <format dxfId="23">
      <pivotArea dataOnly="0" labelOnly="1" fieldPosition="0">
        <references count="1">
          <reference field="0" count="1">
            <x v="3"/>
          </reference>
        </references>
      </pivotArea>
    </format>
    <format dxfId="22">
      <pivotArea dataOnly="0" labelOnly="1" fieldPosition="0">
        <references count="1">
          <reference field="0" count="1">
            <x v="20"/>
          </reference>
        </references>
      </pivotArea>
    </format>
    <format dxfId="21">
      <pivotArea dataOnly="0" labelOnly="1" fieldPosition="0">
        <references count="1">
          <reference field="0" count="1">
            <x v="18"/>
          </reference>
        </references>
      </pivotArea>
    </format>
    <format dxfId="20">
      <pivotArea dataOnly="0" labelOnly="1" fieldPosition="0">
        <references count="1">
          <reference field="0" count="1">
            <x v="9"/>
          </reference>
        </references>
      </pivotArea>
    </format>
    <format dxfId="19">
      <pivotArea dataOnly="0" labelOnly="1" fieldPosition="0">
        <references count="1">
          <reference field="0" count="1">
            <x v="0"/>
          </reference>
        </references>
      </pivotArea>
    </format>
    <format dxfId="18">
      <pivotArea dataOnly="0" labelOnly="1" fieldPosition="0">
        <references count="1">
          <reference field="0" count="1">
            <x v="5"/>
          </reference>
        </references>
      </pivotArea>
    </format>
    <format dxfId="17">
      <pivotArea dataOnly="0" labelOnly="1" fieldPosition="0">
        <references count="1">
          <reference field="0" count="1">
            <x v="16"/>
          </reference>
        </references>
      </pivotArea>
    </format>
    <format dxfId="16">
      <pivotArea dataOnly="0" labelOnly="1" fieldPosition="0">
        <references count="1">
          <reference field="0" count="1">
            <x v="6"/>
          </reference>
        </references>
      </pivotArea>
    </format>
    <format dxfId="15">
      <pivotArea dataOnly="0" labelOnly="1" fieldPosition="0">
        <references count="1">
          <reference field="0" count="1">
            <x v="4"/>
          </reference>
        </references>
      </pivotArea>
    </format>
    <format dxfId="14">
      <pivotArea dataOnly="0" labelOnly="1" fieldPosition="0">
        <references count="1">
          <reference field="0" count="1">
            <x v="12"/>
          </reference>
        </references>
      </pivotArea>
    </format>
    <format dxfId="13">
      <pivotArea dataOnly="0" labelOnly="1" fieldPosition="0">
        <references count="1">
          <reference field="0" count="1">
            <x v="11"/>
          </reference>
        </references>
      </pivotArea>
    </format>
    <format dxfId="12">
      <pivotArea dataOnly="0" labelOnly="1" fieldPosition="0">
        <references count="1">
          <reference field="0" count="4">
            <x v="1"/>
            <x v="10"/>
            <x v="14"/>
            <x v="19"/>
          </reference>
        </references>
      </pivotArea>
    </format>
    <format dxfId="11">
      <pivotArea dataOnly="0" labelOnly="1" fieldPosition="0">
        <references count="1">
          <reference field="0" count="1">
            <x v="2"/>
          </reference>
        </references>
      </pivotArea>
    </format>
    <format dxfId="10">
      <pivotArea dataOnly="0" labelOnly="1" fieldPosition="0">
        <references count="1">
          <reference field="0" count="4">
            <x v="7"/>
            <x v="8"/>
            <x v="13"/>
            <x v="15"/>
          </reference>
        </references>
      </pivotArea>
    </format>
    <format dxfId="9">
      <pivotArea dataOnly="0" labelOnly="1" fieldPosition="0">
        <references count="1">
          <reference field="0" count="1">
            <x v="17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Книга1!Список">
        <x15:activeTabTopLevelEntity name="[Список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2:C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Число элементов в столбце Пол" fld="1" subtotal="count" showDataAs="percentOfTotal" baseField="0" baseItem="0" numFmtId="9"/>
  </dataFields>
  <formats count="1">
    <format dxfId="8">
      <pivotArea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Книга1!Список">
        <x15:activeTabTopLevelEntity name="[Список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Список" displayName="Список" ref="B4:T32" totalsRowCount="1" totalsRowBorderDxfId="36">
  <autoFilter ref="B4:T31" xr:uid="{00000000-0009-0000-0100-000001000000}"/>
  <sortState xmlns:xlrd2="http://schemas.microsoft.com/office/spreadsheetml/2017/richdata2" ref="B5:P31">
    <sortCondition ref="B4:B31"/>
  </sortState>
  <tableColumns count="19">
    <tableColumn id="1" xr3:uid="{00000000-0010-0000-0000-000001000000}" name="№" totalsRowLabel="ЛР1"/>
    <tableColumn id="2" xr3:uid="{00000000-0010-0000-0000-000002000000}" name="Фамилия, имя"/>
    <tableColumn id="3" xr3:uid="{00000000-0010-0000-0000-000003000000}" name="Имя"/>
    <tableColumn id="4" xr3:uid="{00000000-0010-0000-0000-000004000000}" name="Пол"/>
    <tableColumn id="9" xr3:uid="{00000000-0010-0000-0000-000009000000}" name="Вар. ЛР" totalsRowFunction="custom">
      <totalsRowFormula>SUM(H32:N32)</totalsRowFormula>
    </tableColumn>
    <tableColumn id="5" xr3:uid="{00000000-0010-0000-0000-000005000000}" name="08.сен" totalsRowDxfId="35"/>
    <tableColumn id="6" xr3:uid="{00000000-0010-0000-0000-000006000000}" name="22.сен" totalsRowFunction="countNums" totalsRowDxfId="34"/>
    <tableColumn id="7" xr3:uid="{00000000-0010-0000-0000-000007000000}" name="06.окт" totalsRowFunction="countNums"/>
    <tableColumn id="8" xr3:uid="{00000000-0010-0000-0000-000008000000}" name="20.окт" totalsRowFunction="custom" totalsRowDxfId="33">
      <totalsRowFormula>COUNTIF(Список[20.окт],1)</totalsRowFormula>
    </tableColumn>
    <tableColumn id="11" xr3:uid="{00000000-0010-0000-0000-00000B000000}" name="17.ноя" totalsRowFunction="custom">
      <totalsRowFormula>COUNTIF(Список[17.ноя],1)</totalsRowFormula>
    </tableColumn>
    <tableColumn id="12" xr3:uid="{00000000-0010-0000-0000-00000C000000}" name="01.дек" totalsRowFunction="custom">
      <totalsRowFormula>COUNTIF(Список[01.дек],1)</totalsRowFormula>
    </tableColumn>
    <tableColumn id="13" xr3:uid="{00000000-0010-0000-0000-00000D000000}" name="15.дек" totalsRowFunction="custom">
      <totalsRowFormula>COUNTIF(Список[15.дек],1)</totalsRowFormula>
    </tableColumn>
    <tableColumn id="14" xr3:uid="{00000000-0010-0000-0000-00000E000000}" name="22.дек" totalsRowFunction="custom">
      <totalsRowFormula>COUNTIF(Список[22.дек],1)</totalsRowFormula>
    </tableColumn>
    <tableColumn id="15" xr3:uid="{00000000-0010-0000-0000-00000F000000}" name="Встреч">
      <calculatedColumnFormula>COUNTA(Список[[#This Row],[08.сен]:[22.дек]])</calculatedColumnFormula>
    </tableColumn>
    <tableColumn id="16" xr3:uid="{00000000-0010-0000-0000-000010000000}" name="27.окт" totalsRowFunction="countNums"/>
    <tableColumn id="10" xr3:uid="{00000000-0010-0000-0000-00000A000000}" name="Баллы1" totalsRowDxfId="32"/>
    <tableColumn id="18" xr3:uid="{00000000-0010-0000-0000-000012000000}" name="ДЗ" totalsRowFunction="countNums" totalsRowDxfId="31"/>
    <tableColumn id="17" xr3:uid="{00000000-0010-0000-0000-000011000000}" name="Баллы2" totalsRowDxfId="30"/>
    <tableColumn id="19" xr3:uid="{00000000-0010-0000-0000-000013000000}" name="Баллы3" dataDxfId="29" totalsRowDxfId="28">
      <calculatedColumnFormula>Список[[#This Row],[Баллы1]]+Список[[#This Row],[Баллы2]]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Список3" displayName="Список3" ref="B4:Y33" totalsRowCount="1" totalsRowBorderDxfId="54">
  <autoFilter ref="B4:Y32" xr:uid="{00000000-0009-0000-0100-000002000000}"/>
  <sortState xmlns:xlrd2="http://schemas.microsoft.com/office/spreadsheetml/2017/richdata2" ref="B5:S31">
    <sortCondition ref="B4:B31"/>
  </sortState>
  <tableColumns count="24">
    <tableColumn id="1" xr3:uid="{00000000-0010-0000-0100-000001000000}" name="№" totalsRowLabel="ЛР1"/>
    <tableColumn id="2" xr3:uid="{00000000-0010-0000-0100-000002000000}" name="Фамилия, имя"/>
    <tableColumn id="4" xr3:uid="{00000000-0010-0000-0100-000004000000}" name="Пол"/>
    <tableColumn id="9" xr3:uid="{00000000-0010-0000-0100-000009000000}" name="Вар. ЛР" totalsRowFunction="custom">
      <totalsRowFormula>SUM(Список3[[#Totals],[14.фев]:[30.май]])</totalsRowFormula>
    </tableColumn>
    <tableColumn id="5" xr3:uid="{00000000-0010-0000-0100-000005000000}" name="14.фев" totalsRowDxfId="7"/>
    <tableColumn id="6" xr3:uid="{00000000-0010-0000-0100-000006000000}" name="28.фев" totalsRowFunction="countNums" dataDxfId="53" totalsRowDxfId="6"/>
    <tableColumn id="7" xr3:uid="{00000000-0010-0000-0100-000007000000}" name="14.мар" totalsRowFunction="custom" dataDxfId="52">
      <totalsRowFormula>SUMIF(Список3[14.мар],1)</totalsRowFormula>
    </tableColumn>
    <tableColumn id="8" xr3:uid="{00000000-0010-0000-0100-000008000000}" name="21.мар" totalsRowFunction="custom" dataDxfId="51">
      <totalsRowFormula>SUMIF(Список3[21.мар],1)</totalsRowFormula>
    </tableColumn>
    <tableColumn id="11" xr3:uid="{00000000-0010-0000-0100-00000B000000}" name="28.мар" totalsRowFunction="custom" dataDxfId="50">
      <totalsRowFormula>SUMIF(Список3[28.мар],1)</totalsRowFormula>
    </tableColumn>
    <tableColumn id="12" xr3:uid="{00000000-0010-0000-0100-00000C000000}" name="04.апр" totalsRowFunction="custom" dataDxfId="49">
      <totalsRowFormula>SUMIF(Список3[04.апр],1)</totalsRowFormula>
    </tableColumn>
    <tableColumn id="13" xr3:uid="{00000000-0010-0000-0100-00000D000000}" name="11.апр" totalsRowFunction="custom" dataDxfId="48">
      <totalsRowFormula>SUMIF(Список3[11.апр],1)</totalsRowFormula>
    </tableColumn>
    <tableColumn id="14" xr3:uid="{00000000-0010-0000-0100-00000E000000}" name="18.апр" totalsRowFunction="custom" dataDxfId="47">
      <totalsRowFormula>SUMIF(Список3[18.апр],1)</totalsRowFormula>
    </tableColumn>
    <tableColumn id="22" xr3:uid="{00000000-0010-0000-0100-000016000000}" name="25.апр" totalsRowFunction="custom" dataDxfId="46">
      <totalsRowFormula>SUMIF(Список3[25.апр],1)</totalsRowFormula>
    </tableColumn>
    <tableColumn id="23" xr3:uid="{00000000-0010-0000-0100-000017000000}" name="16.май" totalsRowFunction="custom" dataDxfId="45">
      <totalsRowFormula>SUMIF(Список3[16.май],1)</totalsRowFormula>
    </tableColumn>
    <tableColumn id="24" xr3:uid="{00000000-0010-0000-0100-000018000000}" name="23.май" totalsRowFunction="custom" dataDxfId="44">
      <totalsRowFormula>SUMIF(Список3[23.май],1)</totalsRowFormula>
    </tableColumn>
    <tableColumn id="25" xr3:uid="{00000000-0010-0000-0100-000019000000}" name="30.май" totalsRowFunction="custom" dataDxfId="43">
      <totalsRowFormula>SUMIF(Список3[30.май],1)</totalsRowFormula>
    </tableColumn>
    <tableColumn id="20" xr3:uid="{00000000-0010-0000-0100-000014000000}" name="06.июн" totalsRowFunction="custom" dataDxfId="42" totalsRowDxfId="5">
      <totalsRowFormula>SUMIF(Список3[06.июн],1)</totalsRowFormula>
    </tableColumn>
    <tableColumn id="15" xr3:uid="{00000000-0010-0000-0100-00000F000000}" name="Встреч" totalsRowFunction="max" dataDxfId="41">
      <calculatedColumnFormula>COUNTA(Список3[[#This Row],[14.фев]:[30.май]])</calculatedColumnFormula>
    </tableColumn>
    <tableColumn id="16" xr3:uid="{00000000-0010-0000-0100-000010000000}" name="ЛР" totalsRowFunction="custom" dataDxfId="40">
      <calculatedColumnFormula>MAX(Список3[[#This Row],[14.фев]:[30.май]])*4+Список3[[#This Row],[Встреч]]</calculatedColumnFormula>
      <totalsRowFormula>E37</totalsRowFormula>
    </tableColumn>
    <tableColumn id="10" xr3:uid="{00000000-0010-0000-0100-00000A000000}" name="РК" totalsRowFunction="custom" dataDxfId="39" totalsRowDxfId="4">
      <calculatedColumnFormula>$U$2</calculatedColumnFormula>
      <totalsRowFormula>COUNTIF(Список3[РК],"&gt;0")</totalsRowFormula>
    </tableColumn>
    <tableColumn id="19" xr3:uid="{00000000-0010-0000-0100-000013000000}" name="ПЗ" totalsRowDxfId="3"/>
    <tableColumn id="3" xr3:uid="{00000000-0010-0000-0100-000003000000}" name="РП" totalsRowDxfId="2"/>
    <tableColumn id="18" xr3:uid="{00000000-0010-0000-0100-000012000000}" name="Курсовая" dataDxfId="38" totalsRowDxfId="1">
      <calculatedColumnFormula>Список3[[#This Row],[ПЗ]]+Список3[[#This Row],[РП]]</calculatedColumnFormula>
    </tableColumn>
    <tableColumn id="17" xr3:uid="{00000000-0010-0000-0100-000011000000}" name="Всего" dataDxfId="37" totalsRowDxfId="0">
      <calculatedColumnFormula>Список3[[#This Row],[ЛР]]+Список3[[#This Row],[РК]]+Список3[[#This Row],[Курсовая]]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6"/>
  <sheetViews>
    <sheetView showGridLines="0" zoomScale="120" zoomScaleNormal="120" workbookViewId="0">
      <pane xSplit="20" ySplit="4" topLeftCell="U10" activePane="bottomRight" state="frozen"/>
      <selection pane="topRight" activeCell="U1" sqref="U1"/>
      <selection pane="bottomLeft" activeCell="A5" sqref="A5"/>
      <selection pane="bottomRight" activeCell="R36" sqref="R36"/>
    </sheetView>
  </sheetViews>
  <sheetFormatPr defaultRowHeight="15" x14ac:dyDescent="0.25"/>
  <cols>
    <col min="1" max="1" width="3.140625" customWidth="1"/>
    <col min="2" max="2" width="5.42578125" customWidth="1"/>
    <col min="3" max="3" width="24" customWidth="1"/>
    <col min="4" max="4" width="13" hidden="1" customWidth="1"/>
    <col min="5" max="5" width="6.7109375" hidden="1" customWidth="1"/>
    <col min="6" max="6" width="6.140625" customWidth="1"/>
    <col min="7" max="7" width="7" customWidth="1"/>
    <col min="8" max="8" width="7.7109375" customWidth="1"/>
    <col min="9" max="10" width="7.28515625" customWidth="1"/>
    <col min="11" max="12" width="6.5703125" customWidth="1"/>
    <col min="13" max="14" width="7" customWidth="1"/>
    <col min="15" max="15" width="8.85546875" customWidth="1"/>
    <col min="16" max="16" width="11.28515625" customWidth="1"/>
    <col min="17" max="17" width="10.28515625" customWidth="1"/>
    <col min="18" max="18" width="10.140625" customWidth="1"/>
    <col min="19" max="19" width="9.140625" customWidth="1"/>
  </cols>
  <sheetData>
    <row r="1" spans="2:20" ht="26.25" customHeight="1" x14ac:dyDescent="0.25">
      <c r="C1" s="23" t="s">
        <v>83</v>
      </c>
    </row>
    <row r="2" spans="2:20" ht="17.25" customHeight="1" x14ac:dyDescent="0.25">
      <c r="G2" s="38" t="s">
        <v>63</v>
      </c>
      <c r="H2" s="38"/>
      <c r="I2" s="39" t="s">
        <v>67</v>
      </c>
      <c r="J2" s="38"/>
      <c r="K2" s="40" t="s">
        <v>69</v>
      </c>
      <c r="L2" s="41"/>
      <c r="M2" s="39" t="s">
        <v>72</v>
      </c>
      <c r="N2" s="38"/>
      <c r="P2" s="10" t="s">
        <v>70</v>
      </c>
    </row>
    <row r="3" spans="2:20" ht="7.5" customHeight="1" x14ac:dyDescent="0.25"/>
    <row r="4" spans="2:20" x14ac:dyDescent="0.25">
      <c r="B4" t="s">
        <v>3</v>
      </c>
      <c r="C4" t="s">
        <v>2</v>
      </c>
      <c r="D4" t="s">
        <v>51</v>
      </c>
      <c r="E4" t="s">
        <v>58</v>
      </c>
      <c r="F4" t="s">
        <v>65</v>
      </c>
      <c r="G4" s="8" t="s">
        <v>60</v>
      </c>
      <c r="H4" s="8" t="s">
        <v>61</v>
      </c>
      <c r="I4" s="8" t="s">
        <v>62</v>
      </c>
      <c r="J4" s="8" t="s">
        <v>64</v>
      </c>
      <c r="K4" s="8" t="s">
        <v>68</v>
      </c>
      <c r="L4" s="8" t="s">
        <v>71</v>
      </c>
      <c r="M4" s="8" t="s">
        <v>74</v>
      </c>
      <c r="N4" s="8" t="s">
        <v>73</v>
      </c>
      <c r="O4" t="s">
        <v>78</v>
      </c>
      <c r="P4" s="20" t="s">
        <v>66</v>
      </c>
      <c r="Q4" t="s">
        <v>85</v>
      </c>
      <c r="R4" t="s">
        <v>86</v>
      </c>
      <c r="S4" t="s">
        <v>84</v>
      </c>
      <c r="T4" t="s">
        <v>87</v>
      </c>
    </row>
    <row r="5" spans="2:20" x14ac:dyDescent="0.25">
      <c r="B5">
        <v>1</v>
      </c>
      <c r="C5" t="s">
        <v>0</v>
      </c>
      <c r="D5" t="s">
        <v>30</v>
      </c>
      <c r="E5" t="s">
        <v>28</v>
      </c>
      <c r="F5">
        <v>11</v>
      </c>
      <c r="G5" s="9" t="s">
        <v>76</v>
      </c>
      <c r="H5" s="9" t="s">
        <v>76</v>
      </c>
      <c r="J5" s="12"/>
      <c r="K5">
        <v>1</v>
      </c>
      <c r="L5">
        <v>2</v>
      </c>
      <c r="M5">
        <v>3</v>
      </c>
      <c r="N5">
        <v>4</v>
      </c>
      <c r="O5">
        <f>COUNTA(Список[[#This Row],[08.сен]:[22.дек]])</f>
        <v>6</v>
      </c>
      <c r="P5" s="12"/>
      <c r="Q5">
        <v>20</v>
      </c>
      <c r="R5">
        <v>20</v>
      </c>
      <c r="S5">
        <v>50</v>
      </c>
      <c r="T5">
        <f>Список[[#This Row],[Баллы1]]+Список[[#This Row],[Баллы2]]</f>
        <v>70</v>
      </c>
    </row>
    <row r="6" spans="2:20" x14ac:dyDescent="0.25">
      <c r="B6">
        <v>2</v>
      </c>
      <c r="C6" s="24" t="s">
        <v>1</v>
      </c>
      <c r="D6" t="s">
        <v>31</v>
      </c>
      <c r="E6" t="s">
        <v>28</v>
      </c>
      <c r="F6">
        <v>11</v>
      </c>
      <c r="G6" s="9" t="s">
        <v>76</v>
      </c>
      <c r="J6" s="12"/>
      <c r="O6">
        <f>COUNTA(Список[[#This Row],[08.сен]:[22.дек]])</f>
        <v>1</v>
      </c>
      <c r="T6">
        <f>Список[[#This Row],[Баллы1]]+Список[[#This Row],[Баллы2]]</f>
        <v>0</v>
      </c>
    </row>
    <row r="7" spans="2:20" x14ac:dyDescent="0.25">
      <c r="B7">
        <v>3</v>
      </c>
      <c r="C7" t="s">
        <v>4</v>
      </c>
      <c r="D7" t="s">
        <v>32</v>
      </c>
      <c r="E7" t="s">
        <v>28</v>
      </c>
      <c r="F7">
        <v>1</v>
      </c>
      <c r="G7" s="9" t="s">
        <v>76</v>
      </c>
      <c r="H7" s="14" t="s">
        <v>77</v>
      </c>
      <c r="I7" s="19">
        <v>1</v>
      </c>
      <c r="J7" s="15" t="s">
        <v>77</v>
      </c>
      <c r="L7">
        <v>2</v>
      </c>
      <c r="M7" s="26">
        <v>3</v>
      </c>
      <c r="N7">
        <v>4</v>
      </c>
      <c r="O7">
        <f>COUNTA(Список[[#This Row],[08.сен]:[22.дек]])</f>
        <v>7</v>
      </c>
      <c r="P7">
        <v>3</v>
      </c>
      <c r="Q7">
        <v>42</v>
      </c>
      <c r="R7">
        <v>25</v>
      </c>
      <c r="S7">
        <v>55</v>
      </c>
      <c r="T7">
        <f>Список[[#This Row],[Баллы1]]+Список[[#This Row],[Баллы2]]</f>
        <v>97</v>
      </c>
    </row>
    <row r="8" spans="2:20" x14ac:dyDescent="0.25">
      <c r="B8">
        <v>4</v>
      </c>
      <c r="C8" t="s">
        <v>5</v>
      </c>
      <c r="D8" t="s">
        <v>33</v>
      </c>
      <c r="E8" t="s">
        <v>28</v>
      </c>
      <c r="F8">
        <v>18</v>
      </c>
      <c r="G8" s="9" t="s">
        <v>76</v>
      </c>
      <c r="H8" s="9" t="s">
        <v>76</v>
      </c>
      <c r="J8" s="16">
        <v>1</v>
      </c>
      <c r="L8">
        <v>2</v>
      </c>
      <c r="M8">
        <v>3</v>
      </c>
      <c r="N8">
        <v>4</v>
      </c>
      <c r="O8">
        <f>COUNTA(Список[[#This Row],[08.сен]:[22.дек]])</f>
        <v>6</v>
      </c>
      <c r="P8">
        <v>4</v>
      </c>
      <c r="Q8">
        <v>42</v>
      </c>
      <c r="R8">
        <v>20</v>
      </c>
      <c r="S8">
        <v>50</v>
      </c>
      <c r="T8">
        <f>Список[[#This Row],[Баллы1]]+Список[[#This Row],[Баллы2]]</f>
        <v>92</v>
      </c>
    </row>
    <row r="9" spans="2:20" x14ac:dyDescent="0.25">
      <c r="B9">
        <v>5</v>
      </c>
      <c r="C9" t="s">
        <v>6</v>
      </c>
      <c r="D9" t="s">
        <v>34</v>
      </c>
      <c r="E9" t="s">
        <v>28</v>
      </c>
      <c r="F9">
        <v>2</v>
      </c>
      <c r="G9" s="9" t="s">
        <v>76</v>
      </c>
      <c r="H9" s="14" t="s">
        <v>77</v>
      </c>
      <c r="J9" s="16">
        <v>1</v>
      </c>
      <c r="L9">
        <v>2</v>
      </c>
      <c r="M9">
        <v>3</v>
      </c>
      <c r="N9">
        <v>4</v>
      </c>
      <c r="O9">
        <f>COUNTA(Список[[#This Row],[08.сен]:[22.дек]])</f>
        <v>6</v>
      </c>
      <c r="P9">
        <v>4</v>
      </c>
      <c r="Q9">
        <v>42</v>
      </c>
      <c r="R9">
        <v>25</v>
      </c>
      <c r="S9">
        <v>55</v>
      </c>
      <c r="T9">
        <f>Список[[#This Row],[Баллы1]]+Список[[#This Row],[Баллы2]]</f>
        <v>97</v>
      </c>
    </row>
    <row r="10" spans="2:20" x14ac:dyDescent="0.25">
      <c r="B10">
        <v>6</v>
      </c>
      <c r="C10" t="s">
        <v>7</v>
      </c>
      <c r="D10" t="s">
        <v>35</v>
      </c>
      <c r="E10" t="s">
        <v>29</v>
      </c>
      <c r="F10">
        <v>3</v>
      </c>
      <c r="G10" s="9" t="s">
        <v>76</v>
      </c>
      <c r="H10" s="18">
        <v>1</v>
      </c>
      <c r="J10" s="19">
        <v>2</v>
      </c>
      <c r="K10" s="9">
        <v>3</v>
      </c>
      <c r="L10" s="9"/>
      <c r="M10" s="9">
        <v>4</v>
      </c>
      <c r="N10" s="9"/>
      <c r="O10">
        <f>COUNTA(Список[[#This Row],[08.сен]:[22.дек]])</f>
        <v>5</v>
      </c>
      <c r="P10">
        <v>5</v>
      </c>
      <c r="Q10">
        <v>45</v>
      </c>
      <c r="R10">
        <v>25</v>
      </c>
      <c r="S10">
        <v>55</v>
      </c>
      <c r="T10">
        <f>Список[[#This Row],[Баллы1]]+Список[[#This Row],[Баллы2]]</f>
        <v>100</v>
      </c>
    </row>
    <row r="11" spans="2:20" x14ac:dyDescent="0.25">
      <c r="B11">
        <v>7</v>
      </c>
      <c r="C11" t="s">
        <v>8</v>
      </c>
      <c r="D11" t="s">
        <v>36</v>
      </c>
      <c r="E11" t="s">
        <v>28</v>
      </c>
      <c r="F11">
        <v>4</v>
      </c>
      <c r="G11" s="9" t="s">
        <v>76</v>
      </c>
      <c r="H11" s="14" t="s">
        <v>77</v>
      </c>
      <c r="I11" s="14">
        <v>1</v>
      </c>
      <c r="J11" s="12"/>
      <c r="K11" s="14">
        <v>2</v>
      </c>
      <c r="L11" s="26">
        <v>3</v>
      </c>
      <c r="M11" s="9">
        <v>4</v>
      </c>
      <c r="N11" s="9"/>
      <c r="O11">
        <f>COUNTA(Список[[#This Row],[08.сен]:[22.дек]])</f>
        <v>6</v>
      </c>
      <c r="P11">
        <v>3</v>
      </c>
      <c r="Q11">
        <v>39</v>
      </c>
      <c r="R11">
        <v>25</v>
      </c>
      <c r="S11">
        <v>55</v>
      </c>
      <c r="T11">
        <f>Список[[#This Row],[Баллы1]]+Список[[#This Row],[Баллы2]]</f>
        <v>94</v>
      </c>
    </row>
    <row r="12" spans="2:20" x14ac:dyDescent="0.25">
      <c r="B12">
        <v>8</v>
      </c>
      <c r="C12" t="s">
        <v>9</v>
      </c>
      <c r="D12" t="s">
        <v>37</v>
      </c>
      <c r="E12" t="s">
        <v>28</v>
      </c>
      <c r="F12">
        <v>15</v>
      </c>
      <c r="G12" s="9" t="s">
        <v>76</v>
      </c>
      <c r="H12" s="18">
        <v>1</v>
      </c>
      <c r="I12" s="14" t="s">
        <v>77</v>
      </c>
      <c r="J12" s="19">
        <v>2</v>
      </c>
      <c r="K12" s="9"/>
      <c r="L12" s="9">
        <v>3</v>
      </c>
      <c r="M12" s="9">
        <v>4</v>
      </c>
      <c r="N12" s="9"/>
      <c r="O12">
        <f>COUNTA(Список[[#This Row],[08.сен]:[22.дек]])</f>
        <v>6</v>
      </c>
      <c r="P12">
        <v>5</v>
      </c>
      <c r="Q12">
        <v>45</v>
      </c>
      <c r="R12">
        <v>25</v>
      </c>
      <c r="S12">
        <v>55</v>
      </c>
      <c r="T12">
        <f>Список[[#This Row],[Баллы1]]+Список[[#This Row],[Баллы2]]</f>
        <v>100</v>
      </c>
    </row>
    <row r="13" spans="2:20" x14ac:dyDescent="0.25">
      <c r="B13">
        <v>9</v>
      </c>
      <c r="C13" s="24" t="s">
        <v>75</v>
      </c>
      <c r="D13" t="s">
        <v>38</v>
      </c>
      <c r="E13" t="s">
        <v>29</v>
      </c>
      <c r="F13" s="12"/>
      <c r="G13" s="9"/>
      <c r="J13" s="12"/>
      <c r="K13" s="9"/>
      <c r="L13" s="9"/>
      <c r="M13" s="9"/>
      <c r="N13" s="9"/>
      <c r="O13">
        <f>COUNTA(Список[[#This Row],[08.сен]:[22.дек]])</f>
        <v>0</v>
      </c>
      <c r="Q13">
        <v>0</v>
      </c>
      <c r="T13">
        <f>Список[[#This Row],[Баллы1]]+Список[[#This Row],[Баллы2]]</f>
        <v>0</v>
      </c>
    </row>
    <row r="14" spans="2:20" x14ac:dyDescent="0.25">
      <c r="B14">
        <v>10</v>
      </c>
      <c r="C14" t="s">
        <v>10</v>
      </c>
      <c r="D14" t="s">
        <v>32</v>
      </c>
      <c r="E14" t="s">
        <v>28</v>
      </c>
      <c r="F14">
        <v>6</v>
      </c>
      <c r="G14" s="9" t="s">
        <v>76</v>
      </c>
      <c r="I14" s="19">
        <v>1</v>
      </c>
      <c r="J14" s="19">
        <v>2</v>
      </c>
      <c r="K14" s="9"/>
      <c r="L14" s="9"/>
      <c r="M14" s="9">
        <v>3</v>
      </c>
      <c r="N14" s="9">
        <v>4</v>
      </c>
      <c r="O14">
        <f>COUNTA(Список[[#This Row],[08.сен]:[22.дек]])</f>
        <v>5</v>
      </c>
      <c r="P14">
        <v>4</v>
      </c>
      <c r="Q14">
        <v>42</v>
      </c>
      <c r="R14">
        <v>25</v>
      </c>
      <c r="S14">
        <v>55</v>
      </c>
      <c r="T14">
        <f>Список[[#This Row],[Баллы1]]+Список[[#This Row],[Баллы2]]</f>
        <v>97</v>
      </c>
    </row>
    <row r="15" spans="2:20" x14ac:dyDescent="0.25">
      <c r="B15">
        <v>11</v>
      </c>
      <c r="C15" t="s">
        <v>11</v>
      </c>
      <c r="D15" t="s">
        <v>39</v>
      </c>
      <c r="E15" t="s">
        <v>28</v>
      </c>
      <c r="F15" s="13">
        <v>17</v>
      </c>
      <c r="G15" s="9"/>
      <c r="I15" s="19">
        <v>1</v>
      </c>
      <c r="J15" s="19">
        <v>2</v>
      </c>
      <c r="K15" s="9"/>
      <c r="L15" s="9">
        <v>3</v>
      </c>
      <c r="M15" s="9"/>
      <c r="N15" s="9">
        <v>4</v>
      </c>
      <c r="O15">
        <f>COUNTA(Список[[#This Row],[08.сен]:[22.дек]])</f>
        <v>4</v>
      </c>
      <c r="P15">
        <v>5</v>
      </c>
      <c r="Q15">
        <v>45</v>
      </c>
      <c r="R15">
        <v>20</v>
      </c>
      <c r="S15">
        <v>50</v>
      </c>
      <c r="T15">
        <f>Список[[#This Row],[Баллы1]]+Список[[#This Row],[Баллы2]]</f>
        <v>95</v>
      </c>
    </row>
    <row r="16" spans="2:20" x14ac:dyDescent="0.25">
      <c r="B16">
        <v>12</v>
      </c>
      <c r="C16" s="11" t="s">
        <v>12</v>
      </c>
      <c r="D16" t="s">
        <v>40</v>
      </c>
      <c r="E16" t="s">
        <v>29</v>
      </c>
      <c r="F16">
        <v>7</v>
      </c>
      <c r="G16" s="9" t="s">
        <v>76</v>
      </c>
      <c r="H16" s="14" t="s">
        <v>77</v>
      </c>
      <c r="I16" s="14" t="s">
        <v>77</v>
      </c>
      <c r="J16" s="12">
        <v>1</v>
      </c>
      <c r="K16" s="9"/>
      <c r="L16" s="9">
        <v>2</v>
      </c>
      <c r="M16" s="9">
        <v>3</v>
      </c>
      <c r="N16" s="9">
        <v>4</v>
      </c>
      <c r="O16">
        <f>COUNTA(Список[[#This Row],[08.сен]:[22.дек]])</f>
        <v>7</v>
      </c>
      <c r="P16">
        <v>4</v>
      </c>
      <c r="Q16">
        <v>42</v>
      </c>
      <c r="R16">
        <v>15</v>
      </c>
      <c r="S16">
        <v>45</v>
      </c>
      <c r="T16">
        <f>Список[[#This Row],[Баллы1]]+Список[[#This Row],[Баллы2]]</f>
        <v>87</v>
      </c>
    </row>
    <row r="17" spans="2:20" x14ac:dyDescent="0.25">
      <c r="B17">
        <v>13</v>
      </c>
      <c r="C17" t="s">
        <v>13</v>
      </c>
      <c r="D17" t="s">
        <v>36</v>
      </c>
      <c r="E17" t="s">
        <v>28</v>
      </c>
      <c r="F17">
        <v>6</v>
      </c>
      <c r="G17" s="9" t="s">
        <v>76</v>
      </c>
      <c r="H17" s="9" t="s">
        <v>76</v>
      </c>
      <c r="I17" s="19">
        <v>1</v>
      </c>
      <c r="J17" s="19">
        <v>2</v>
      </c>
      <c r="K17" s="9"/>
      <c r="L17" s="9"/>
      <c r="M17" s="9">
        <v>3</v>
      </c>
      <c r="N17" s="9">
        <v>4</v>
      </c>
      <c r="O17">
        <f>COUNTA(Список[[#This Row],[08.сен]:[22.дек]])</f>
        <v>6</v>
      </c>
      <c r="P17">
        <v>4</v>
      </c>
      <c r="Q17">
        <v>42</v>
      </c>
      <c r="R17">
        <v>25</v>
      </c>
      <c r="S17">
        <v>55</v>
      </c>
      <c r="T17">
        <f>Список[[#This Row],[Баллы1]]+Список[[#This Row],[Баллы2]]</f>
        <v>97</v>
      </c>
    </row>
    <row r="18" spans="2:20" x14ac:dyDescent="0.25">
      <c r="B18">
        <v>14</v>
      </c>
      <c r="C18" t="s">
        <v>14</v>
      </c>
      <c r="D18" t="s">
        <v>39</v>
      </c>
      <c r="E18" t="s">
        <v>28</v>
      </c>
      <c r="F18">
        <v>18</v>
      </c>
      <c r="G18" s="9" t="s">
        <v>76</v>
      </c>
      <c r="H18" s="9" t="s">
        <v>76</v>
      </c>
      <c r="J18" s="16">
        <v>1</v>
      </c>
      <c r="K18" s="9"/>
      <c r="L18" s="9">
        <v>2</v>
      </c>
      <c r="M18" s="9">
        <v>3</v>
      </c>
      <c r="N18" s="9">
        <v>4</v>
      </c>
      <c r="O18">
        <f>COUNTA(Список[[#This Row],[08.сен]:[22.дек]])</f>
        <v>6</v>
      </c>
      <c r="P18">
        <v>4</v>
      </c>
      <c r="Q18">
        <v>42</v>
      </c>
      <c r="R18">
        <v>20</v>
      </c>
      <c r="S18">
        <v>50</v>
      </c>
      <c r="T18">
        <f>Список[[#This Row],[Баллы1]]+Список[[#This Row],[Баллы2]]</f>
        <v>92</v>
      </c>
    </row>
    <row r="19" spans="2:20" x14ac:dyDescent="0.25">
      <c r="B19">
        <v>15</v>
      </c>
      <c r="C19" t="s">
        <v>15</v>
      </c>
      <c r="D19" t="s">
        <v>41</v>
      </c>
      <c r="E19" t="s">
        <v>28</v>
      </c>
      <c r="F19">
        <v>8</v>
      </c>
      <c r="G19" s="9" t="s">
        <v>76</v>
      </c>
      <c r="H19" s="9" t="s">
        <v>76</v>
      </c>
      <c r="J19" s="16">
        <v>1</v>
      </c>
      <c r="K19" s="9"/>
      <c r="L19" s="26">
        <v>2</v>
      </c>
      <c r="M19" s="9">
        <v>3</v>
      </c>
      <c r="N19" s="9">
        <v>4</v>
      </c>
      <c r="O19">
        <f>COUNTA(Список[[#This Row],[08.сен]:[22.дек]])</f>
        <v>6</v>
      </c>
      <c r="P19">
        <v>4</v>
      </c>
      <c r="Q19">
        <v>42</v>
      </c>
      <c r="R19">
        <v>25</v>
      </c>
      <c r="S19">
        <v>55</v>
      </c>
      <c r="T19">
        <f>Список[[#This Row],[Баллы1]]+Список[[#This Row],[Баллы2]]</f>
        <v>97</v>
      </c>
    </row>
    <row r="20" spans="2:20" x14ac:dyDescent="0.25">
      <c r="B20">
        <v>16</v>
      </c>
      <c r="C20" t="s">
        <v>16</v>
      </c>
      <c r="D20" t="s">
        <v>40</v>
      </c>
      <c r="E20" t="s">
        <v>29</v>
      </c>
      <c r="F20">
        <v>8</v>
      </c>
      <c r="G20" s="9" t="s">
        <v>76</v>
      </c>
      <c r="H20" s="9" t="s">
        <v>76</v>
      </c>
      <c r="J20" s="16">
        <v>1</v>
      </c>
      <c r="K20" s="9"/>
      <c r="L20" s="26">
        <v>2</v>
      </c>
      <c r="M20" s="9">
        <v>3</v>
      </c>
      <c r="N20" s="9">
        <v>4</v>
      </c>
      <c r="O20">
        <f>COUNTA(Список[[#This Row],[08.сен]:[22.дек]])</f>
        <v>6</v>
      </c>
      <c r="P20">
        <v>4</v>
      </c>
      <c r="Q20">
        <v>42</v>
      </c>
      <c r="R20">
        <v>25</v>
      </c>
      <c r="S20">
        <v>55</v>
      </c>
      <c r="T20">
        <f>Список[[#This Row],[Баллы1]]+Список[[#This Row],[Баллы2]]</f>
        <v>97</v>
      </c>
    </row>
    <row r="21" spans="2:20" x14ac:dyDescent="0.25">
      <c r="B21">
        <v>17</v>
      </c>
      <c r="C21" t="s">
        <v>17</v>
      </c>
      <c r="D21" t="s">
        <v>42</v>
      </c>
      <c r="E21" t="s">
        <v>29</v>
      </c>
      <c r="F21">
        <v>9</v>
      </c>
      <c r="G21" s="9" t="s">
        <v>76</v>
      </c>
      <c r="H21" s="9" t="s">
        <v>76</v>
      </c>
      <c r="I21" s="19">
        <v>1</v>
      </c>
      <c r="J21" s="19">
        <v>2</v>
      </c>
      <c r="K21" s="9"/>
      <c r="L21" s="26">
        <v>3</v>
      </c>
      <c r="M21" s="9">
        <v>4</v>
      </c>
      <c r="N21" s="9"/>
      <c r="O21">
        <f>COUNTA(Список[[#This Row],[08.сен]:[22.дек]])</f>
        <v>6</v>
      </c>
      <c r="P21">
        <v>3</v>
      </c>
      <c r="Q21">
        <v>39</v>
      </c>
      <c r="R21">
        <v>25</v>
      </c>
      <c r="S21">
        <v>55</v>
      </c>
      <c r="T21">
        <f>Список[[#This Row],[Баллы1]]+Список[[#This Row],[Баллы2]]</f>
        <v>94</v>
      </c>
    </row>
    <row r="22" spans="2:20" x14ac:dyDescent="0.25">
      <c r="B22">
        <v>18</v>
      </c>
      <c r="C22" t="s">
        <v>18</v>
      </c>
      <c r="D22" t="s">
        <v>43</v>
      </c>
      <c r="E22" t="s">
        <v>29</v>
      </c>
      <c r="F22">
        <v>17</v>
      </c>
      <c r="G22" s="9" t="s">
        <v>76</v>
      </c>
      <c r="H22" s="14" t="s">
        <v>77</v>
      </c>
      <c r="I22" s="19">
        <v>1</v>
      </c>
      <c r="J22" s="19">
        <v>2</v>
      </c>
      <c r="K22" s="9" t="s">
        <v>76</v>
      </c>
      <c r="L22" s="9"/>
      <c r="M22" s="9">
        <v>3</v>
      </c>
      <c r="N22" s="9">
        <v>4</v>
      </c>
      <c r="O22">
        <f>COUNTA(Список[[#This Row],[08.сен]:[22.дек]])</f>
        <v>7</v>
      </c>
      <c r="P22">
        <v>4</v>
      </c>
      <c r="Q22">
        <v>42</v>
      </c>
      <c r="R22">
        <v>20</v>
      </c>
      <c r="S22">
        <v>50</v>
      </c>
      <c r="T22">
        <f>Список[[#This Row],[Баллы1]]+Список[[#This Row],[Баллы2]]</f>
        <v>92</v>
      </c>
    </row>
    <row r="23" spans="2:20" x14ac:dyDescent="0.25">
      <c r="B23">
        <v>19</v>
      </c>
      <c r="C23" t="s">
        <v>19</v>
      </c>
      <c r="D23" t="s">
        <v>44</v>
      </c>
      <c r="E23" t="s">
        <v>28</v>
      </c>
      <c r="F23">
        <v>4</v>
      </c>
      <c r="G23" s="9" t="s">
        <v>76</v>
      </c>
      <c r="H23" s="14" t="s">
        <v>77</v>
      </c>
      <c r="I23" s="14">
        <v>1</v>
      </c>
      <c r="J23" s="12"/>
      <c r="K23" s="9">
        <v>2</v>
      </c>
      <c r="L23" s="26">
        <v>3</v>
      </c>
      <c r="M23" s="9">
        <v>4</v>
      </c>
      <c r="N23" s="9"/>
      <c r="O23">
        <f>COUNTA(Список[[#This Row],[08.сен]:[22.дек]])</f>
        <v>6</v>
      </c>
      <c r="P23">
        <v>4</v>
      </c>
      <c r="Q23">
        <v>42</v>
      </c>
      <c r="R23">
        <v>25</v>
      </c>
      <c r="S23">
        <v>55</v>
      </c>
      <c r="T23">
        <f>Список[[#This Row],[Баллы1]]+Список[[#This Row],[Баллы2]]</f>
        <v>97</v>
      </c>
    </row>
    <row r="24" spans="2:20" x14ac:dyDescent="0.25">
      <c r="B24">
        <v>20</v>
      </c>
      <c r="C24" t="s">
        <v>20</v>
      </c>
      <c r="D24" t="s">
        <v>45</v>
      </c>
      <c r="E24" t="s">
        <v>29</v>
      </c>
      <c r="F24">
        <v>9</v>
      </c>
      <c r="G24" s="9" t="s">
        <v>76</v>
      </c>
      <c r="H24" s="9" t="s">
        <v>76</v>
      </c>
      <c r="I24" s="19">
        <v>1</v>
      </c>
      <c r="J24" s="19">
        <v>2</v>
      </c>
      <c r="K24" s="9"/>
      <c r="L24" s="26">
        <v>3</v>
      </c>
      <c r="M24" s="9">
        <v>4</v>
      </c>
      <c r="N24" s="9"/>
      <c r="O24">
        <f>COUNTA(Список[[#This Row],[08.сен]:[22.дек]])</f>
        <v>6</v>
      </c>
      <c r="P24">
        <v>5</v>
      </c>
      <c r="Q24">
        <v>45</v>
      </c>
      <c r="R24">
        <v>15</v>
      </c>
      <c r="S24">
        <v>45</v>
      </c>
      <c r="T24">
        <f>Список[[#This Row],[Баллы1]]+Список[[#This Row],[Баллы2]]</f>
        <v>90</v>
      </c>
    </row>
    <row r="25" spans="2:20" x14ac:dyDescent="0.25">
      <c r="B25">
        <v>21</v>
      </c>
      <c r="C25" t="s">
        <v>21</v>
      </c>
      <c r="D25" t="s">
        <v>46</v>
      </c>
      <c r="E25" t="s">
        <v>29</v>
      </c>
      <c r="F25">
        <v>21</v>
      </c>
      <c r="G25" s="9" t="s">
        <v>76</v>
      </c>
      <c r="H25" s="9" t="s">
        <v>76</v>
      </c>
      <c r="I25" s="14" t="s">
        <v>77</v>
      </c>
      <c r="J25" s="16">
        <v>1</v>
      </c>
      <c r="K25" s="9"/>
      <c r="L25" s="9">
        <v>2</v>
      </c>
      <c r="M25" s="9">
        <v>3</v>
      </c>
      <c r="N25" s="9"/>
      <c r="O25">
        <f>COUNTA(Список[[#This Row],[08.сен]:[22.дек]])</f>
        <v>6</v>
      </c>
      <c r="P25" s="12">
        <v>3</v>
      </c>
      <c r="Q25">
        <v>39</v>
      </c>
      <c r="R25">
        <v>20</v>
      </c>
      <c r="S25">
        <v>35</v>
      </c>
      <c r="T25">
        <f>Список[[#This Row],[Баллы1]]+Список[[#This Row],[Баллы2]]</f>
        <v>74</v>
      </c>
    </row>
    <row r="26" spans="2:20" x14ac:dyDescent="0.25">
      <c r="B26">
        <v>22</v>
      </c>
      <c r="C26" t="s">
        <v>22</v>
      </c>
      <c r="D26" t="s">
        <v>47</v>
      </c>
      <c r="E26" t="s">
        <v>29</v>
      </c>
      <c r="F26">
        <v>2</v>
      </c>
      <c r="G26" s="9" t="s">
        <v>76</v>
      </c>
      <c r="H26" s="14" t="s">
        <v>77</v>
      </c>
      <c r="J26" s="16">
        <v>1</v>
      </c>
      <c r="K26" s="9"/>
      <c r="L26" s="9">
        <v>2</v>
      </c>
      <c r="M26" s="9">
        <v>3</v>
      </c>
      <c r="N26" s="9">
        <v>4</v>
      </c>
      <c r="O26">
        <f>COUNTA(Список[[#This Row],[08.сен]:[22.дек]])</f>
        <v>6</v>
      </c>
      <c r="P26">
        <v>5</v>
      </c>
      <c r="Q26">
        <v>45</v>
      </c>
      <c r="R26">
        <v>25</v>
      </c>
      <c r="S26">
        <v>55</v>
      </c>
      <c r="T26">
        <f>Список[[#This Row],[Баллы1]]+Список[[#This Row],[Баллы2]]</f>
        <v>100</v>
      </c>
    </row>
    <row r="27" spans="2:20" x14ac:dyDescent="0.25">
      <c r="B27">
        <v>23</v>
      </c>
      <c r="C27" t="s">
        <v>24</v>
      </c>
      <c r="D27" t="s">
        <v>49</v>
      </c>
      <c r="E27" t="s">
        <v>29</v>
      </c>
      <c r="F27">
        <v>7</v>
      </c>
      <c r="G27" s="9" t="s">
        <v>76</v>
      </c>
      <c r="I27" s="14" t="s">
        <v>77</v>
      </c>
      <c r="J27" s="12">
        <v>1</v>
      </c>
      <c r="K27" s="9"/>
      <c r="L27" s="9">
        <v>2</v>
      </c>
      <c r="M27" s="9">
        <v>3</v>
      </c>
      <c r="N27" s="9">
        <v>4</v>
      </c>
      <c r="O27">
        <f>COUNTA(Список[[#This Row],[08.сен]:[22.дек]])</f>
        <v>6</v>
      </c>
      <c r="P27">
        <v>3</v>
      </c>
      <c r="Q27">
        <v>39</v>
      </c>
      <c r="R27">
        <v>15</v>
      </c>
      <c r="S27">
        <v>45</v>
      </c>
      <c r="T27">
        <f>Список[[#This Row],[Баллы1]]+Список[[#This Row],[Баллы2]]</f>
        <v>84</v>
      </c>
    </row>
    <row r="28" spans="2:20" x14ac:dyDescent="0.25">
      <c r="B28">
        <v>24</v>
      </c>
      <c r="C28" t="s">
        <v>23</v>
      </c>
      <c r="D28" t="s">
        <v>48</v>
      </c>
      <c r="E28" t="s">
        <v>29</v>
      </c>
      <c r="F28">
        <v>21</v>
      </c>
      <c r="G28" s="9" t="s">
        <v>76</v>
      </c>
      <c r="I28" s="14" t="s">
        <v>77</v>
      </c>
      <c r="J28" s="16">
        <v>1</v>
      </c>
      <c r="K28" s="9"/>
      <c r="L28" s="9">
        <v>2</v>
      </c>
      <c r="M28" s="9">
        <v>3</v>
      </c>
      <c r="N28" s="9"/>
      <c r="O28">
        <f>COUNTA(Список[[#This Row],[08.сен]:[22.дек]])</f>
        <v>5</v>
      </c>
      <c r="P28">
        <v>4</v>
      </c>
      <c r="Q28">
        <v>42</v>
      </c>
      <c r="R28">
        <v>20</v>
      </c>
      <c r="S28">
        <v>35</v>
      </c>
      <c r="T28">
        <f>Список[[#This Row],[Баллы1]]+Список[[#This Row],[Баллы2]]</f>
        <v>77</v>
      </c>
    </row>
    <row r="29" spans="2:20" x14ac:dyDescent="0.25">
      <c r="B29">
        <v>25</v>
      </c>
      <c r="C29" t="s">
        <v>25</v>
      </c>
      <c r="D29" t="s">
        <v>34</v>
      </c>
      <c r="E29" t="s">
        <v>28</v>
      </c>
      <c r="F29">
        <v>15</v>
      </c>
      <c r="G29" s="9" t="s">
        <v>76</v>
      </c>
      <c r="H29" s="19">
        <v>1</v>
      </c>
      <c r="J29" s="19">
        <v>2</v>
      </c>
      <c r="K29" s="9"/>
      <c r="L29" s="26">
        <v>3</v>
      </c>
      <c r="M29" s="9">
        <v>4</v>
      </c>
      <c r="N29" s="9"/>
      <c r="O29">
        <f>COUNTA(Список[[#This Row],[08.сен]:[22.дек]])</f>
        <v>5</v>
      </c>
      <c r="P29">
        <v>5</v>
      </c>
      <c r="Q29">
        <v>45</v>
      </c>
      <c r="R29">
        <v>25</v>
      </c>
      <c r="S29">
        <v>55</v>
      </c>
      <c r="T29">
        <f>Список[[#This Row],[Баллы1]]+Список[[#This Row],[Баллы2]]</f>
        <v>100</v>
      </c>
    </row>
    <row r="30" spans="2:20" x14ac:dyDescent="0.25">
      <c r="B30">
        <v>26</v>
      </c>
      <c r="C30" t="s">
        <v>26</v>
      </c>
      <c r="D30" t="s">
        <v>34</v>
      </c>
      <c r="E30" t="s">
        <v>28</v>
      </c>
      <c r="F30">
        <v>3</v>
      </c>
      <c r="G30" s="9" t="s">
        <v>76</v>
      </c>
      <c r="H30" s="19">
        <v>1</v>
      </c>
      <c r="J30" s="19">
        <v>2</v>
      </c>
      <c r="K30" s="9">
        <v>3</v>
      </c>
      <c r="L30" s="9"/>
      <c r="M30" s="9">
        <v>4</v>
      </c>
      <c r="N30" s="9"/>
      <c r="O30">
        <f>COUNTA(Список[[#This Row],[08.сен]:[22.дек]])</f>
        <v>5</v>
      </c>
      <c r="P30">
        <v>5</v>
      </c>
      <c r="Q30">
        <v>45</v>
      </c>
      <c r="R30">
        <v>25</v>
      </c>
      <c r="S30">
        <v>55</v>
      </c>
      <c r="T30">
        <f>Список[[#This Row],[Баллы1]]+Список[[#This Row],[Баллы2]]</f>
        <v>100</v>
      </c>
    </row>
    <row r="31" spans="2:20" x14ac:dyDescent="0.25">
      <c r="B31">
        <v>27</v>
      </c>
      <c r="C31" t="s">
        <v>27</v>
      </c>
      <c r="D31" t="s">
        <v>50</v>
      </c>
      <c r="E31" t="s">
        <v>28</v>
      </c>
      <c r="F31">
        <v>1</v>
      </c>
      <c r="G31" s="9" t="s">
        <v>76</v>
      </c>
      <c r="H31" s="14" t="s">
        <v>77</v>
      </c>
      <c r="I31" s="19">
        <v>1</v>
      </c>
      <c r="J31" s="15" t="s">
        <v>77</v>
      </c>
      <c r="K31" s="9">
        <v>2</v>
      </c>
      <c r="L31" s="26">
        <v>3</v>
      </c>
      <c r="M31" s="9">
        <v>4</v>
      </c>
      <c r="N31" s="9"/>
      <c r="O31">
        <f>COUNTA(Список[[#This Row],[08.сен]:[22.дек]])</f>
        <v>7</v>
      </c>
      <c r="P31">
        <v>4</v>
      </c>
      <c r="Q31">
        <v>42</v>
      </c>
      <c r="R31">
        <v>25</v>
      </c>
      <c r="S31">
        <v>55</v>
      </c>
      <c r="T31">
        <f>Список[[#This Row],[Баллы1]]+Список[[#This Row],[Баллы2]]</f>
        <v>97</v>
      </c>
    </row>
    <row r="32" spans="2:20" x14ac:dyDescent="0.25">
      <c r="B32" t="s">
        <v>79</v>
      </c>
      <c r="F32">
        <f>SUM(H32:N32)</f>
        <v>25</v>
      </c>
      <c r="G32" s="9"/>
      <c r="H32" s="9">
        <f>SUBTOTAL(102,Список[22.сен])</f>
        <v>4</v>
      </c>
      <c r="I32">
        <f>SUBTOTAL(102,Список[06.окт])</f>
        <v>10</v>
      </c>
      <c r="J32" s="9">
        <f>COUNTIF(Список[20.окт],1)</f>
        <v>10</v>
      </c>
      <c r="K32">
        <f>COUNTIF(Список[17.ноя],1)</f>
        <v>1</v>
      </c>
      <c r="L32">
        <f>COUNTIF(Список[01.дек],1)</f>
        <v>0</v>
      </c>
      <c r="M32">
        <f>COUNTIF(Список[15.дек],1)</f>
        <v>0</v>
      </c>
      <c r="N32">
        <f>COUNTIF(Список[22.дек],1)</f>
        <v>0</v>
      </c>
      <c r="P32">
        <f>SUBTOTAL(102,Список[27.окт])</f>
        <v>24</v>
      </c>
      <c r="Q32" s="25"/>
      <c r="R32" s="25">
        <f>SUBTOTAL(102,Список[ДЗ])</f>
        <v>25</v>
      </c>
      <c r="S32" s="25"/>
      <c r="T32" s="25"/>
    </row>
    <row r="33" spans="2:16" x14ac:dyDescent="0.25">
      <c r="B33" s="11" t="s">
        <v>80</v>
      </c>
      <c r="C33" s="11"/>
      <c r="D33" s="11"/>
      <c r="E33" s="11"/>
      <c r="F33">
        <f t="shared" ref="F33:F35" si="0">SUM(H33:N33)</f>
        <v>25</v>
      </c>
      <c r="G33" s="22"/>
      <c r="H33" s="22"/>
      <c r="I33" s="11"/>
      <c r="J33" s="22">
        <f>COUNTIF(Список[20.окт],2)</f>
        <v>10</v>
      </c>
      <c r="K33" s="11">
        <f>COUNTIF(Список[17.ноя],2)</f>
        <v>3</v>
      </c>
      <c r="L33" s="11">
        <f>COUNTIF(Список[01.дек],2)</f>
        <v>12</v>
      </c>
      <c r="M33" s="11">
        <f>COUNTIF(Список[15.дек],2)</f>
        <v>0</v>
      </c>
      <c r="N33" s="11">
        <f>COUNTIF(Список[22.дек],2)</f>
        <v>0</v>
      </c>
      <c r="P33">
        <f>COUNTIF(Список[27.окт],5)</f>
        <v>7</v>
      </c>
    </row>
    <row r="34" spans="2:16" x14ac:dyDescent="0.25">
      <c r="B34" s="17" t="s">
        <v>81</v>
      </c>
      <c r="C34" s="17"/>
      <c r="D34" s="17"/>
      <c r="E34" s="17"/>
      <c r="F34">
        <f t="shared" si="0"/>
        <v>25</v>
      </c>
      <c r="G34" s="21"/>
      <c r="H34" s="17"/>
      <c r="I34" s="21"/>
      <c r="J34" s="17"/>
      <c r="K34" s="17">
        <f>COUNTIF(Список[17.ноя],3)</f>
        <v>2</v>
      </c>
      <c r="L34" s="17">
        <f>COUNTIF(Список[01.дек],3)</f>
        <v>8</v>
      </c>
      <c r="M34" s="17">
        <f>COUNTIF(Список[15.дек],3)</f>
        <v>15</v>
      </c>
      <c r="N34" s="17">
        <f>COUNTIF(Список[22.дек],3)</f>
        <v>0</v>
      </c>
      <c r="O34" s="1"/>
      <c r="P34">
        <f>COUNTIF(Список[27.окт],4)</f>
        <v>12</v>
      </c>
    </row>
    <row r="35" spans="2:16" x14ac:dyDescent="0.25">
      <c r="B35" s="17" t="s">
        <v>82</v>
      </c>
      <c r="C35" s="17"/>
      <c r="D35" s="17"/>
      <c r="E35" s="17"/>
      <c r="F35">
        <f t="shared" si="0"/>
        <v>23</v>
      </c>
      <c r="G35" s="21"/>
      <c r="H35" s="17"/>
      <c r="I35" s="21"/>
      <c r="J35" s="17"/>
      <c r="K35" s="17">
        <f>COUNTIF(Список[17.ноя],4)</f>
        <v>0</v>
      </c>
      <c r="L35" s="17">
        <f>COUNTIF(Список[01.дек],4)</f>
        <v>0</v>
      </c>
      <c r="M35" s="17">
        <f>COUNTIF(Список[15.дек],4)</f>
        <v>9</v>
      </c>
      <c r="N35" s="17">
        <f>COUNTIF(Список[22.дек],4)</f>
        <v>14</v>
      </c>
      <c r="O35" s="1"/>
      <c r="P35">
        <f>COUNTIF(Список[27.окт],3)</f>
        <v>5</v>
      </c>
    </row>
    <row r="36" spans="2:16" x14ac:dyDescent="0.25">
      <c r="P36">
        <f>COUNTIF(Список[27.окт],"&lt;3")</f>
        <v>0</v>
      </c>
    </row>
  </sheetData>
  <mergeCells count="4">
    <mergeCell ref="G2:H2"/>
    <mergeCell ref="I2:J2"/>
    <mergeCell ref="K2:L2"/>
    <mergeCell ref="M2:N2"/>
  </mergeCells>
  <phoneticPr fontId="5" type="noConversion"/>
  <conditionalFormatting sqref="O5:O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4:O3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{2EC6AC69-A471-4F88-B4EC-1DCA2B2FF77F}</x14:id>
        </ext>
      </extLst>
    </cfRule>
  </conditionalFormatting>
  <conditionalFormatting sqref="P5:P3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{38798A35-A1F8-493B-AB6E-0AB96D564358}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C6AC69-A471-4F88-B4EC-1DCA2B2FF7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O34:O35</xm:sqref>
        </x14:conditionalFormatting>
        <x14:conditionalFormatting xmlns:xm="http://schemas.microsoft.com/office/excel/2006/main">
          <x14:cfRule type="dataBar" id="{38798A35-A1F8-493B-AB6E-0AB96D564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7"/>
  <sheetViews>
    <sheetView showGridLines="0" showRowColHeaders="0" tabSelected="1" zoomScale="95" zoomScaleNormal="95" workbookViewId="0">
      <pane xSplit="25" ySplit="4" topLeftCell="Z5" activePane="bottomRight" state="frozen"/>
      <selection pane="topRight" activeCell="Y1" sqref="Y1"/>
      <selection pane="bottomLeft" activeCell="A5" sqref="A5"/>
      <selection pane="bottomRight" activeCell="U35" sqref="U35"/>
    </sheetView>
  </sheetViews>
  <sheetFormatPr defaultRowHeight="15" x14ac:dyDescent="0.25"/>
  <cols>
    <col min="1" max="1" width="1.140625" customWidth="1"/>
    <col min="2" max="2" width="4.42578125" customWidth="1"/>
    <col min="3" max="3" width="22.42578125" customWidth="1"/>
    <col min="4" max="4" width="6.7109375" hidden="1" customWidth="1"/>
    <col min="5" max="5" width="6.140625" customWidth="1"/>
    <col min="6" max="6" width="7" customWidth="1"/>
    <col min="7" max="7" width="7.7109375" customWidth="1"/>
    <col min="8" max="9" width="7.28515625" customWidth="1"/>
    <col min="10" max="11" width="6.5703125" customWidth="1"/>
    <col min="12" max="18" width="7" customWidth="1"/>
    <col min="19" max="19" width="7.28515625" customWidth="1"/>
    <col min="20" max="21" width="10.28515625" customWidth="1"/>
    <col min="22" max="22" width="8.5703125" customWidth="1"/>
    <col min="23" max="23" width="8" customWidth="1"/>
    <col min="24" max="24" width="9.85546875" customWidth="1"/>
    <col min="25" max="25" width="17.140625" customWidth="1"/>
  </cols>
  <sheetData>
    <row r="1" spans="2:25" ht="26.25" customHeight="1" x14ac:dyDescent="0.25">
      <c r="C1" s="23" t="s">
        <v>102</v>
      </c>
    </row>
    <row r="2" spans="2:25" ht="13.5" customHeight="1" x14ac:dyDescent="0.25">
      <c r="F2" s="36"/>
      <c r="G2" s="36"/>
      <c r="H2" s="36"/>
      <c r="I2" s="36"/>
      <c r="J2" s="37"/>
      <c r="K2" s="37"/>
      <c r="L2" s="9"/>
      <c r="M2" s="36"/>
      <c r="N2" s="36"/>
      <c r="O2" s="36"/>
      <c r="P2" s="36"/>
      <c r="Q2" s="9"/>
      <c r="R2" s="9"/>
      <c r="T2" s="32">
        <v>20</v>
      </c>
      <c r="U2" s="9">
        <v>15</v>
      </c>
      <c r="V2" s="9">
        <v>30</v>
      </c>
      <c r="W2" s="9">
        <v>25</v>
      </c>
      <c r="X2" s="9">
        <v>55</v>
      </c>
      <c r="Y2" s="9">
        <v>100</v>
      </c>
    </row>
    <row r="3" spans="2:25" ht="7.5" customHeight="1" x14ac:dyDescent="0.25">
      <c r="U3" s="9"/>
      <c r="V3" s="9"/>
      <c r="W3" s="9"/>
      <c r="X3" s="9"/>
    </row>
    <row r="4" spans="2:25" x14ac:dyDescent="0.25">
      <c r="B4" t="s">
        <v>3</v>
      </c>
      <c r="C4" t="s">
        <v>2</v>
      </c>
      <c r="D4" t="s">
        <v>58</v>
      </c>
      <c r="E4" t="s">
        <v>65</v>
      </c>
      <c r="F4" s="29" t="s">
        <v>90</v>
      </c>
      <c r="G4" s="30" t="s">
        <v>91</v>
      </c>
      <c r="H4" s="30" t="s">
        <v>92</v>
      </c>
      <c r="I4" s="30" t="s">
        <v>93</v>
      </c>
      <c r="J4" s="30" t="s">
        <v>94</v>
      </c>
      <c r="K4" s="30" t="s">
        <v>95</v>
      </c>
      <c r="L4" s="30" t="s">
        <v>96</v>
      </c>
      <c r="M4" s="30" t="s">
        <v>97</v>
      </c>
      <c r="N4" s="30" t="s">
        <v>98</v>
      </c>
      <c r="O4" s="30" t="s">
        <v>99</v>
      </c>
      <c r="P4" s="30" t="s">
        <v>100</v>
      </c>
      <c r="Q4" s="30" t="s">
        <v>101</v>
      </c>
      <c r="R4" s="30" t="s">
        <v>110</v>
      </c>
      <c r="S4" s="28" t="s">
        <v>78</v>
      </c>
      <c r="T4" s="20" t="s">
        <v>104</v>
      </c>
      <c r="U4" t="s">
        <v>70</v>
      </c>
      <c r="V4" t="s">
        <v>107</v>
      </c>
      <c r="W4" t="s">
        <v>108</v>
      </c>
      <c r="X4" t="s">
        <v>105</v>
      </c>
      <c r="Y4" t="s">
        <v>106</v>
      </c>
    </row>
    <row r="5" spans="2:25" x14ac:dyDescent="0.25">
      <c r="B5">
        <v>1</v>
      </c>
      <c r="C5" t="s">
        <v>0</v>
      </c>
      <c r="D5" t="s">
        <v>28</v>
      </c>
      <c r="E5">
        <v>17</v>
      </c>
      <c r="F5" s="31" t="s">
        <v>76</v>
      </c>
      <c r="G5" s="31" t="s">
        <v>76</v>
      </c>
      <c r="H5" s="31"/>
      <c r="I5" s="31"/>
      <c r="J5" s="31"/>
      <c r="K5" s="31"/>
      <c r="L5" s="31">
        <v>1</v>
      </c>
      <c r="M5" s="31">
        <v>2</v>
      </c>
      <c r="N5" s="31" t="s">
        <v>76</v>
      </c>
      <c r="O5" s="31"/>
      <c r="P5" s="31">
        <v>3</v>
      </c>
      <c r="Q5" s="31"/>
      <c r="R5" s="31"/>
      <c r="S5">
        <f>COUNTA(Список3[[#This Row],[14.фев]:[30.май]])</f>
        <v>6</v>
      </c>
      <c r="T5">
        <f>MAX(Список3[[#This Row],[14.фев]:[30.май]])*4+Список3[[#This Row],[Встреч]]</f>
        <v>18</v>
      </c>
      <c r="U5">
        <v>0</v>
      </c>
      <c r="X5">
        <f>Список3[[#This Row],[ПЗ]]+Список3[[#This Row],[РП]]</f>
        <v>0</v>
      </c>
      <c r="Y5">
        <f>Список3[[#This Row],[ЛР]]+Список3[[#This Row],[РК]]+Список3[[#This Row],[Курсовая]]</f>
        <v>18</v>
      </c>
    </row>
    <row r="6" spans="2:25" x14ac:dyDescent="0.25">
      <c r="B6">
        <v>2</v>
      </c>
      <c r="C6" t="s">
        <v>4</v>
      </c>
      <c r="D6" t="s">
        <v>28</v>
      </c>
      <c r="E6">
        <v>1</v>
      </c>
      <c r="F6" s="31" t="s">
        <v>76</v>
      </c>
      <c r="G6" s="31" t="s">
        <v>76</v>
      </c>
      <c r="H6" s="31"/>
      <c r="I6" s="14">
        <v>1</v>
      </c>
      <c r="J6" s="31" t="s">
        <v>76</v>
      </c>
      <c r="K6" s="31">
        <v>2</v>
      </c>
      <c r="L6" s="14"/>
      <c r="M6" s="31"/>
      <c r="N6" s="31">
        <v>3</v>
      </c>
      <c r="O6" s="31" t="s">
        <v>76</v>
      </c>
      <c r="P6" s="31">
        <v>4</v>
      </c>
      <c r="Q6" s="31"/>
      <c r="R6" s="31"/>
      <c r="S6">
        <f>COUNTA(Список3[[#This Row],[14.фев]:[30.май]])</f>
        <v>8</v>
      </c>
      <c r="T6">
        <f>MAX(Список3[[#This Row],[14.фев]:[30.май]])*4+Список3[[#This Row],[Встреч]]</f>
        <v>24</v>
      </c>
      <c r="U6">
        <v>0</v>
      </c>
      <c r="X6">
        <f>Список3[[#This Row],[ПЗ]]+Список3[[#This Row],[РП]]</f>
        <v>0</v>
      </c>
      <c r="Y6">
        <f>Список3[[#This Row],[ЛР]]+Список3[[#This Row],[РК]]+Список3[[#This Row],[Курсовая]]</f>
        <v>24</v>
      </c>
    </row>
    <row r="7" spans="2:25" x14ac:dyDescent="0.25">
      <c r="B7">
        <v>3</v>
      </c>
      <c r="C7" t="s">
        <v>5</v>
      </c>
      <c r="D7" t="s">
        <v>28</v>
      </c>
      <c r="E7">
        <v>18</v>
      </c>
      <c r="F7" s="31" t="s">
        <v>76</v>
      </c>
      <c r="G7" s="31" t="s">
        <v>76</v>
      </c>
      <c r="H7" s="31">
        <v>1</v>
      </c>
      <c r="I7" s="31">
        <v>2</v>
      </c>
      <c r="J7" s="31"/>
      <c r="K7" s="31" t="s">
        <v>76</v>
      </c>
      <c r="L7" s="31">
        <v>3</v>
      </c>
      <c r="M7" s="31"/>
      <c r="N7" s="31">
        <v>4</v>
      </c>
      <c r="O7" s="31">
        <v>5</v>
      </c>
      <c r="P7" s="31"/>
      <c r="Q7" s="31"/>
      <c r="R7" s="31"/>
      <c r="S7">
        <f>COUNTA(Список3[[#This Row],[14.фев]:[30.май]])</f>
        <v>8</v>
      </c>
      <c r="T7">
        <f>MAX(Список3[[#This Row],[14.фев]:[30.май]])*4+Список3[[#This Row],[Встреч]]</f>
        <v>28</v>
      </c>
      <c r="U7">
        <f>$U$2-2</f>
        <v>13</v>
      </c>
      <c r="X7">
        <f>Список3[[#This Row],[ПЗ]]+Список3[[#This Row],[РП]]</f>
        <v>0</v>
      </c>
      <c r="Y7">
        <f>Список3[[#This Row],[ЛР]]+Список3[[#This Row],[РК]]+Список3[[#This Row],[Курсовая]]</f>
        <v>41</v>
      </c>
    </row>
    <row r="8" spans="2:25" x14ac:dyDescent="0.25">
      <c r="B8">
        <v>4</v>
      </c>
      <c r="C8" t="s">
        <v>6</v>
      </c>
      <c r="D8" t="s">
        <v>28</v>
      </c>
      <c r="E8">
        <v>2</v>
      </c>
      <c r="F8" s="31" t="s">
        <v>76</v>
      </c>
      <c r="G8" s="31" t="s">
        <v>76</v>
      </c>
      <c r="H8" s="31">
        <v>1</v>
      </c>
      <c r="I8" s="31"/>
      <c r="J8" s="31"/>
      <c r="K8" s="31">
        <v>2</v>
      </c>
      <c r="L8" s="31" t="s">
        <v>76</v>
      </c>
      <c r="M8" s="31">
        <v>3</v>
      </c>
      <c r="N8" s="31">
        <v>4</v>
      </c>
      <c r="O8" s="31"/>
      <c r="P8" s="31">
        <v>5</v>
      </c>
      <c r="Q8" s="31"/>
      <c r="R8" s="31"/>
      <c r="S8">
        <f>COUNTA(Список3[[#This Row],[14.фев]:[30.май]])</f>
        <v>8</v>
      </c>
      <c r="T8">
        <f>MAX(Список3[[#This Row],[14.фев]:[30.май]])*4+Список3[[#This Row],[Встреч]]</f>
        <v>28</v>
      </c>
      <c r="U8">
        <f>$U$2</f>
        <v>15</v>
      </c>
      <c r="X8">
        <f>Список3[[#This Row],[ПЗ]]+Список3[[#This Row],[РП]]</f>
        <v>0</v>
      </c>
      <c r="Y8">
        <f>Список3[[#This Row],[ЛР]]+Список3[[#This Row],[РК]]+Список3[[#This Row],[Курсовая]]</f>
        <v>43</v>
      </c>
    </row>
    <row r="9" spans="2:25" x14ac:dyDescent="0.25">
      <c r="B9">
        <v>5</v>
      </c>
      <c r="C9" t="s">
        <v>7</v>
      </c>
      <c r="D9" t="s">
        <v>29</v>
      </c>
      <c r="E9">
        <v>3</v>
      </c>
      <c r="F9" s="31" t="s">
        <v>76</v>
      </c>
      <c r="G9" s="31" t="s">
        <v>76</v>
      </c>
      <c r="H9" s="31">
        <v>1</v>
      </c>
      <c r="I9" s="31" t="s">
        <v>76</v>
      </c>
      <c r="J9" s="31"/>
      <c r="K9" s="31">
        <v>2</v>
      </c>
      <c r="L9" s="31">
        <v>3</v>
      </c>
      <c r="M9" s="31" t="s">
        <v>76</v>
      </c>
      <c r="N9" s="31" t="s">
        <v>76</v>
      </c>
      <c r="O9" s="31"/>
      <c r="P9" s="31">
        <v>4</v>
      </c>
      <c r="Q9" s="31"/>
      <c r="R9" s="31"/>
      <c r="S9">
        <f>COUNTA(Список3[[#This Row],[14.фев]:[30.май]])</f>
        <v>9</v>
      </c>
      <c r="T9">
        <f>MAX(Список3[[#This Row],[14.фев]:[30.май]])*4+Список3[[#This Row],[Встреч]]</f>
        <v>25</v>
      </c>
      <c r="U9">
        <f>$U$2-1</f>
        <v>14</v>
      </c>
      <c r="X9">
        <f>Список3[[#This Row],[ПЗ]]+Список3[[#This Row],[РП]]</f>
        <v>0</v>
      </c>
      <c r="Y9">
        <f>Список3[[#This Row],[ЛР]]+Список3[[#This Row],[РК]]+Список3[[#This Row],[Курсовая]]</f>
        <v>39</v>
      </c>
    </row>
    <row r="10" spans="2:25" x14ac:dyDescent="0.25">
      <c r="B10">
        <v>6</v>
      </c>
      <c r="C10" t="s">
        <v>8</v>
      </c>
      <c r="D10" t="s">
        <v>28</v>
      </c>
      <c r="E10">
        <v>4</v>
      </c>
      <c r="F10" s="31" t="s">
        <v>76</v>
      </c>
      <c r="G10" s="31" t="s">
        <v>76</v>
      </c>
      <c r="H10" s="14">
        <v>1</v>
      </c>
      <c r="I10" s="31">
        <v>2</v>
      </c>
      <c r="J10" s="14"/>
      <c r="K10" s="14"/>
      <c r="L10" s="31"/>
      <c r="M10" s="31">
        <v>3</v>
      </c>
      <c r="N10" s="31">
        <v>4</v>
      </c>
      <c r="O10" s="31"/>
      <c r="P10" s="31">
        <v>5</v>
      </c>
      <c r="Q10" s="31"/>
      <c r="R10" s="31"/>
      <c r="S10">
        <f>COUNTA(Список3[[#This Row],[14.фев]:[30.май]])</f>
        <v>7</v>
      </c>
      <c r="T10">
        <f>MAX(Список3[[#This Row],[14.фев]:[30.май]])*4+Список3[[#This Row],[Встреч]]</f>
        <v>27</v>
      </c>
      <c r="U10">
        <v>0</v>
      </c>
      <c r="X10">
        <f>Список3[[#This Row],[ПЗ]]+Список3[[#This Row],[РП]]</f>
        <v>0</v>
      </c>
      <c r="Y10">
        <f>Список3[[#This Row],[ЛР]]+Список3[[#This Row],[РК]]+Список3[[#This Row],[Курсовая]]</f>
        <v>27</v>
      </c>
    </row>
    <row r="11" spans="2:25" x14ac:dyDescent="0.25">
      <c r="B11">
        <v>7</v>
      </c>
      <c r="C11" t="s">
        <v>9</v>
      </c>
      <c r="D11" t="s">
        <v>28</v>
      </c>
      <c r="E11">
        <v>15</v>
      </c>
      <c r="F11" s="31" t="s">
        <v>76</v>
      </c>
      <c r="G11" s="31" t="s">
        <v>76</v>
      </c>
      <c r="H11" s="14">
        <v>1</v>
      </c>
      <c r="I11" s="31">
        <v>2</v>
      </c>
      <c r="J11" s="31"/>
      <c r="K11" s="31" t="s">
        <v>76</v>
      </c>
      <c r="L11" s="31"/>
      <c r="M11" s="31">
        <v>3</v>
      </c>
      <c r="N11" s="31">
        <v>4</v>
      </c>
      <c r="O11" s="31" t="s">
        <v>76</v>
      </c>
      <c r="P11" s="31" t="s">
        <v>76</v>
      </c>
      <c r="Q11" s="31"/>
      <c r="R11" s="31"/>
      <c r="S11">
        <f>COUNTA(Список3[[#This Row],[14.фев]:[30.май]])</f>
        <v>9</v>
      </c>
      <c r="T11">
        <f>MAX(Список3[[#This Row],[14.фев]:[30.май]])*4+Список3[[#This Row],[Встреч]]</f>
        <v>25</v>
      </c>
      <c r="U11">
        <f>$U$2-1</f>
        <v>14</v>
      </c>
      <c r="X11">
        <f>Список3[[#This Row],[ПЗ]]+Список3[[#This Row],[РП]]</f>
        <v>0</v>
      </c>
      <c r="Y11">
        <f>Список3[[#This Row],[ЛР]]+Список3[[#This Row],[РК]]+Список3[[#This Row],[Курсовая]]</f>
        <v>39</v>
      </c>
    </row>
    <row r="12" spans="2:25" x14ac:dyDescent="0.25">
      <c r="B12">
        <v>8</v>
      </c>
      <c r="C12" t="s">
        <v>10</v>
      </c>
      <c r="D12" t="s">
        <v>28</v>
      </c>
      <c r="E12">
        <v>6</v>
      </c>
      <c r="F12" s="31" t="s">
        <v>76</v>
      </c>
      <c r="G12" s="31" t="s">
        <v>76</v>
      </c>
      <c r="H12" s="31">
        <v>1</v>
      </c>
      <c r="I12" s="31" t="s">
        <v>76</v>
      </c>
      <c r="J12" s="31"/>
      <c r="K12" s="31">
        <v>2</v>
      </c>
      <c r="L12" s="31"/>
      <c r="M12" s="31">
        <v>3</v>
      </c>
      <c r="N12" s="31" t="s">
        <v>76</v>
      </c>
      <c r="O12" s="31" t="s">
        <v>76</v>
      </c>
      <c r="P12" s="31">
        <v>4</v>
      </c>
      <c r="Q12" s="31"/>
      <c r="R12" s="31"/>
      <c r="S12">
        <f>COUNTA(Список3[[#This Row],[14.фев]:[30.май]])</f>
        <v>9</v>
      </c>
      <c r="T12">
        <f>MAX(Список3[[#This Row],[14.фев]:[30.май]])*4+Список3[[#This Row],[Встреч]]</f>
        <v>25</v>
      </c>
      <c r="U12">
        <f>$U$2-3</f>
        <v>12</v>
      </c>
      <c r="X12">
        <f>Список3[[#This Row],[ПЗ]]+Список3[[#This Row],[РП]]</f>
        <v>0</v>
      </c>
      <c r="Y12">
        <f>Список3[[#This Row],[ЛР]]+Список3[[#This Row],[РК]]+Список3[[#This Row],[Курсовая]]</f>
        <v>37</v>
      </c>
    </row>
    <row r="13" spans="2:25" x14ac:dyDescent="0.25">
      <c r="B13">
        <v>9</v>
      </c>
      <c r="C13" t="s">
        <v>11</v>
      </c>
      <c r="D13" t="s">
        <v>28</v>
      </c>
      <c r="E13" s="27">
        <v>17</v>
      </c>
      <c r="F13" s="31" t="s">
        <v>76</v>
      </c>
      <c r="G13" s="31" t="s">
        <v>76</v>
      </c>
      <c r="H13" s="31" t="s">
        <v>76</v>
      </c>
      <c r="I13" s="31"/>
      <c r="J13" s="31"/>
      <c r="K13" s="31"/>
      <c r="L13" s="31">
        <v>1</v>
      </c>
      <c r="M13" s="31">
        <v>2</v>
      </c>
      <c r="N13" s="31"/>
      <c r="O13" s="31"/>
      <c r="P13" s="31">
        <v>3</v>
      </c>
      <c r="Q13" s="31"/>
      <c r="R13" s="31"/>
      <c r="S13">
        <f>COUNTA(Список3[[#This Row],[14.фев]:[30.май]])</f>
        <v>6</v>
      </c>
      <c r="T13">
        <f>MAX(Список3[[#This Row],[14.фев]:[30.май]])*4+Список3[[#This Row],[Встреч]]</f>
        <v>18</v>
      </c>
      <c r="U13">
        <f>$U$2-6</f>
        <v>9</v>
      </c>
      <c r="X13">
        <f>Список3[[#This Row],[ПЗ]]+Список3[[#This Row],[РП]]</f>
        <v>0</v>
      </c>
      <c r="Y13">
        <f>Список3[[#This Row],[ЛР]]+Список3[[#This Row],[РК]]+Список3[[#This Row],[Курсовая]]</f>
        <v>27</v>
      </c>
    </row>
    <row r="14" spans="2:25" x14ac:dyDescent="0.25">
      <c r="B14">
        <v>10</v>
      </c>
      <c r="C14" s="11" t="s">
        <v>12</v>
      </c>
      <c r="D14" t="s">
        <v>29</v>
      </c>
      <c r="E14">
        <v>7</v>
      </c>
      <c r="F14" s="31" t="s">
        <v>76</v>
      </c>
      <c r="G14" s="31"/>
      <c r="H14" s="14"/>
      <c r="I14" s="31"/>
      <c r="J14" s="31"/>
      <c r="K14" s="31"/>
      <c r="L14" s="31">
        <v>1</v>
      </c>
      <c r="M14" s="31">
        <v>2</v>
      </c>
      <c r="N14" s="31">
        <v>3</v>
      </c>
      <c r="O14" s="31">
        <v>4</v>
      </c>
      <c r="P14" s="31">
        <v>5</v>
      </c>
      <c r="Q14" s="31"/>
      <c r="R14" s="31"/>
      <c r="S14">
        <f>COUNTA(Список3[[#This Row],[14.фев]:[30.май]])</f>
        <v>6</v>
      </c>
      <c r="T14">
        <f>MAX(Список3[[#This Row],[14.фев]:[30.май]])*4+Список3[[#This Row],[Встреч]]</f>
        <v>26</v>
      </c>
      <c r="U14">
        <v>0</v>
      </c>
      <c r="X14">
        <f>Список3[[#This Row],[ПЗ]]+Список3[[#This Row],[РП]]</f>
        <v>0</v>
      </c>
      <c r="Y14">
        <f>Список3[[#This Row],[ЛР]]+Список3[[#This Row],[РК]]+Список3[[#This Row],[Курсовая]]</f>
        <v>26</v>
      </c>
    </row>
    <row r="15" spans="2:25" x14ac:dyDescent="0.25">
      <c r="B15">
        <v>11</v>
      </c>
      <c r="C15" t="s">
        <v>13</v>
      </c>
      <c r="D15" t="s">
        <v>28</v>
      </c>
      <c r="E15">
        <v>6</v>
      </c>
      <c r="F15" s="31" t="s">
        <v>76</v>
      </c>
      <c r="G15" s="31" t="s">
        <v>76</v>
      </c>
      <c r="H15" s="31">
        <v>1</v>
      </c>
      <c r="I15" s="31" t="s">
        <v>76</v>
      </c>
      <c r="J15" s="31"/>
      <c r="K15" s="31">
        <v>2</v>
      </c>
      <c r="L15" s="31"/>
      <c r="M15" s="31">
        <v>3</v>
      </c>
      <c r="N15" s="31"/>
      <c r="O15" s="31"/>
      <c r="P15" s="31">
        <v>4</v>
      </c>
      <c r="Q15" s="31"/>
      <c r="R15" s="31"/>
      <c r="S15">
        <f>COUNTA(Список3[[#This Row],[14.фев]:[30.май]])</f>
        <v>7</v>
      </c>
      <c r="T15">
        <f>MAX(Список3[[#This Row],[14.фев]:[30.май]])*4+Список3[[#This Row],[Встреч]]</f>
        <v>23</v>
      </c>
      <c r="U15">
        <f>$U$2-1</f>
        <v>14</v>
      </c>
      <c r="X15">
        <f>Список3[[#This Row],[ПЗ]]+Список3[[#This Row],[РП]]</f>
        <v>0</v>
      </c>
      <c r="Y15">
        <f>Список3[[#This Row],[ЛР]]+Список3[[#This Row],[РК]]+Список3[[#This Row],[Курсовая]]</f>
        <v>37</v>
      </c>
    </row>
    <row r="16" spans="2:25" x14ac:dyDescent="0.25">
      <c r="B16">
        <v>12</v>
      </c>
      <c r="C16" t="s">
        <v>14</v>
      </c>
      <c r="D16" t="s">
        <v>28</v>
      </c>
      <c r="E16">
        <v>18</v>
      </c>
      <c r="F16" s="31" t="s">
        <v>76</v>
      </c>
      <c r="G16" s="31" t="s">
        <v>76</v>
      </c>
      <c r="H16" s="31">
        <v>1</v>
      </c>
      <c r="I16" s="31">
        <v>2</v>
      </c>
      <c r="J16" s="31" t="s">
        <v>76</v>
      </c>
      <c r="K16" s="31"/>
      <c r="L16" s="31">
        <v>3</v>
      </c>
      <c r="M16" s="31"/>
      <c r="N16" s="31">
        <v>4</v>
      </c>
      <c r="O16" s="31">
        <v>5</v>
      </c>
      <c r="P16" s="31"/>
      <c r="Q16" s="31"/>
      <c r="R16" s="31"/>
      <c r="S16">
        <f>COUNTA(Список3[[#This Row],[14.фев]:[30.май]])</f>
        <v>8</v>
      </c>
      <c r="T16">
        <f>MAX(Список3[[#This Row],[14.фев]:[30.май]])*4+Список3[[#This Row],[Встреч]]</f>
        <v>28</v>
      </c>
      <c r="U16">
        <f>$U$2-2</f>
        <v>13</v>
      </c>
      <c r="X16">
        <f>Список3[[#This Row],[ПЗ]]+Список3[[#This Row],[РП]]</f>
        <v>0</v>
      </c>
      <c r="Y16">
        <f>Список3[[#This Row],[ЛР]]+Список3[[#This Row],[РК]]+Список3[[#This Row],[Курсовая]]</f>
        <v>41</v>
      </c>
    </row>
    <row r="17" spans="2:25" x14ac:dyDescent="0.25">
      <c r="B17">
        <v>13</v>
      </c>
      <c r="C17" t="s">
        <v>15</v>
      </c>
      <c r="D17" t="s">
        <v>28</v>
      </c>
      <c r="E17">
        <v>8</v>
      </c>
      <c r="F17" s="31" t="s">
        <v>76</v>
      </c>
      <c r="G17" s="31" t="s">
        <v>76</v>
      </c>
      <c r="H17" s="31" t="s">
        <v>76</v>
      </c>
      <c r="I17" s="31">
        <v>1</v>
      </c>
      <c r="J17" s="31"/>
      <c r="K17" s="14"/>
      <c r="L17" s="31">
        <v>2</v>
      </c>
      <c r="M17" s="31">
        <v>3</v>
      </c>
      <c r="N17" s="31">
        <v>4</v>
      </c>
      <c r="O17" s="31" t="s">
        <v>76</v>
      </c>
      <c r="P17" s="31">
        <v>5</v>
      </c>
      <c r="Q17" s="31"/>
      <c r="R17" s="31"/>
      <c r="S17">
        <f>COUNTA(Список3[[#This Row],[14.фев]:[30.май]])</f>
        <v>9</v>
      </c>
      <c r="T17">
        <f>MAX(Список3[[#This Row],[14.фев]:[30.май]])*4+Список3[[#This Row],[Встреч]]</f>
        <v>29</v>
      </c>
      <c r="U17">
        <f>$U$2-1</f>
        <v>14</v>
      </c>
      <c r="X17">
        <f>Список3[[#This Row],[ПЗ]]+Список3[[#This Row],[РП]]</f>
        <v>0</v>
      </c>
      <c r="Y17">
        <f>Список3[[#This Row],[ЛР]]+Список3[[#This Row],[РК]]+Список3[[#This Row],[Курсовая]]</f>
        <v>43</v>
      </c>
    </row>
    <row r="18" spans="2:25" x14ac:dyDescent="0.25">
      <c r="B18">
        <v>14</v>
      </c>
      <c r="C18" t="s">
        <v>16</v>
      </c>
      <c r="D18" t="s">
        <v>29</v>
      </c>
      <c r="E18">
        <v>8</v>
      </c>
      <c r="F18" s="31" t="s">
        <v>76</v>
      </c>
      <c r="G18" s="31" t="s">
        <v>76</v>
      </c>
      <c r="H18" s="31" t="s">
        <v>76</v>
      </c>
      <c r="I18" s="31">
        <v>1</v>
      </c>
      <c r="J18" s="31" t="s">
        <v>76</v>
      </c>
      <c r="K18" s="14"/>
      <c r="L18" s="31">
        <v>2</v>
      </c>
      <c r="M18" s="31">
        <v>3</v>
      </c>
      <c r="N18" s="31">
        <v>4</v>
      </c>
      <c r="O18" s="31" t="s">
        <v>76</v>
      </c>
      <c r="P18" s="31">
        <v>5</v>
      </c>
      <c r="Q18" s="31"/>
      <c r="R18" s="31"/>
      <c r="S18">
        <f>COUNTA(Список3[[#This Row],[14.фев]:[30.май]])</f>
        <v>10</v>
      </c>
      <c r="T18">
        <f>MAX(Список3[[#This Row],[14.фев]:[30.май]])*4+Список3[[#This Row],[Встреч]]</f>
        <v>30</v>
      </c>
      <c r="U18">
        <f>$U$2-1</f>
        <v>14</v>
      </c>
      <c r="X18">
        <f>Список3[[#This Row],[ПЗ]]+Список3[[#This Row],[РП]]</f>
        <v>0</v>
      </c>
      <c r="Y18">
        <f>Список3[[#This Row],[ЛР]]+Список3[[#This Row],[РК]]+Список3[[#This Row],[Курсовая]]</f>
        <v>44</v>
      </c>
    </row>
    <row r="19" spans="2:25" x14ac:dyDescent="0.25">
      <c r="B19">
        <v>15</v>
      </c>
      <c r="C19" t="s">
        <v>17</v>
      </c>
      <c r="D19" t="s">
        <v>29</v>
      </c>
      <c r="E19">
        <v>9</v>
      </c>
      <c r="F19" s="31" t="s">
        <v>76</v>
      </c>
      <c r="G19" s="31" t="s">
        <v>76</v>
      </c>
      <c r="H19" s="31">
        <v>1</v>
      </c>
      <c r="I19" s="31"/>
      <c r="J19" s="31" t="s">
        <v>76</v>
      </c>
      <c r="K19" s="14"/>
      <c r="L19" s="31">
        <v>2</v>
      </c>
      <c r="M19" s="31">
        <v>3</v>
      </c>
      <c r="N19" s="31">
        <v>4</v>
      </c>
      <c r="O19" s="31">
        <v>5</v>
      </c>
      <c r="P19" s="31"/>
      <c r="Q19" s="31"/>
      <c r="R19" s="31"/>
      <c r="S19">
        <f>COUNTA(Список3[[#This Row],[14.фев]:[30.май]])</f>
        <v>8</v>
      </c>
      <c r="T19">
        <f>MAX(Список3[[#This Row],[14.фев]:[30.май]])*4+Список3[[#This Row],[Встреч]]</f>
        <v>28</v>
      </c>
      <c r="U19">
        <v>0</v>
      </c>
      <c r="X19">
        <f>Список3[[#This Row],[ПЗ]]+Список3[[#This Row],[РП]]</f>
        <v>0</v>
      </c>
      <c r="Y19">
        <f>Список3[[#This Row],[ЛР]]+Список3[[#This Row],[РК]]+Список3[[#This Row],[Курсовая]]</f>
        <v>28</v>
      </c>
    </row>
    <row r="20" spans="2:25" x14ac:dyDescent="0.25">
      <c r="B20">
        <v>16</v>
      </c>
      <c r="C20" t="s">
        <v>18</v>
      </c>
      <c r="D20" t="s">
        <v>29</v>
      </c>
      <c r="E20">
        <v>17</v>
      </c>
      <c r="F20" s="31" t="s">
        <v>76</v>
      </c>
      <c r="G20" s="31" t="s">
        <v>76</v>
      </c>
      <c r="H20" s="31" t="s">
        <v>76</v>
      </c>
      <c r="I20" s="31"/>
      <c r="J20" s="31"/>
      <c r="K20" s="31"/>
      <c r="L20" s="31">
        <v>1</v>
      </c>
      <c r="M20" s="31">
        <v>2</v>
      </c>
      <c r="N20" s="31"/>
      <c r="O20" s="31"/>
      <c r="P20" s="31">
        <v>3</v>
      </c>
      <c r="Q20" s="31"/>
      <c r="R20" s="31"/>
      <c r="S20">
        <f>COUNTA(Список3[[#This Row],[14.фев]:[30.май]])</f>
        <v>6</v>
      </c>
      <c r="T20">
        <f>MAX(Список3[[#This Row],[14.фев]:[30.май]])*4+Список3[[#This Row],[Встреч]]</f>
        <v>18</v>
      </c>
      <c r="U20">
        <v>0</v>
      </c>
      <c r="X20">
        <f>Список3[[#This Row],[ПЗ]]+Список3[[#This Row],[РП]]</f>
        <v>0</v>
      </c>
      <c r="Y20">
        <f>Список3[[#This Row],[ЛР]]+Список3[[#This Row],[РК]]+Список3[[#This Row],[Курсовая]]</f>
        <v>18</v>
      </c>
    </row>
    <row r="21" spans="2:25" x14ac:dyDescent="0.25">
      <c r="B21">
        <v>17</v>
      </c>
      <c r="C21" t="s">
        <v>19</v>
      </c>
      <c r="D21" t="s">
        <v>28</v>
      </c>
      <c r="E21">
        <v>4</v>
      </c>
      <c r="F21" s="31" t="s">
        <v>76</v>
      </c>
      <c r="G21" s="31" t="s">
        <v>76</v>
      </c>
      <c r="H21" s="14">
        <v>1</v>
      </c>
      <c r="I21" s="31">
        <v>2</v>
      </c>
      <c r="J21" s="31" t="s">
        <v>76</v>
      </c>
      <c r="K21" s="14" t="s">
        <v>76</v>
      </c>
      <c r="L21" s="31"/>
      <c r="M21" s="31">
        <v>3</v>
      </c>
      <c r="N21" s="31">
        <v>4</v>
      </c>
      <c r="O21" s="31" t="s">
        <v>76</v>
      </c>
      <c r="P21" s="31">
        <v>5</v>
      </c>
      <c r="Q21" s="31"/>
      <c r="R21" s="31"/>
      <c r="S21">
        <f>COUNTA(Список3[[#This Row],[14.фев]:[30.май]])</f>
        <v>10</v>
      </c>
      <c r="T21">
        <f>MAX(Список3[[#This Row],[14.фев]:[30.май]])*4+Список3[[#This Row],[Встреч]]</f>
        <v>30</v>
      </c>
      <c r="U21">
        <f t="shared" ref="U21" si="0">$U$2</f>
        <v>15</v>
      </c>
      <c r="X21">
        <f>Список3[[#This Row],[ПЗ]]+Список3[[#This Row],[РП]]</f>
        <v>0</v>
      </c>
      <c r="Y21">
        <f>Список3[[#This Row],[ЛР]]+Список3[[#This Row],[РК]]+Список3[[#This Row],[Курсовая]]</f>
        <v>45</v>
      </c>
    </row>
    <row r="22" spans="2:25" x14ac:dyDescent="0.25">
      <c r="B22">
        <v>18</v>
      </c>
      <c r="C22" t="s">
        <v>88</v>
      </c>
      <c r="D22" t="s">
        <v>29</v>
      </c>
      <c r="E22" s="27" t="s">
        <v>111</v>
      </c>
      <c r="F22" s="31" t="s">
        <v>76</v>
      </c>
      <c r="G22" s="31" t="s">
        <v>76</v>
      </c>
      <c r="H22" s="14"/>
      <c r="I22" s="31"/>
      <c r="J22" s="31"/>
      <c r="K22" s="14" t="s">
        <v>76</v>
      </c>
      <c r="L22" s="31"/>
      <c r="M22" s="31"/>
      <c r="N22" s="31"/>
      <c r="O22" s="31"/>
      <c r="P22" s="31"/>
      <c r="Q22" s="31"/>
      <c r="R22" s="31"/>
      <c r="S22">
        <f>COUNTA(Список3[[#This Row],[14.фев]:[30.май]])</f>
        <v>3</v>
      </c>
      <c r="T22">
        <f>MAX(Список3[[#This Row],[14.фев]:[30.май]])*4+Список3[[#This Row],[Встреч]]</f>
        <v>3</v>
      </c>
      <c r="U22">
        <v>0</v>
      </c>
      <c r="X22">
        <f>Список3[[#This Row],[ПЗ]]+Список3[[#This Row],[РП]]</f>
        <v>0</v>
      </c>
      <c r="Y22">
        <f>Список3[[#This Row],[ЛР]]+Список3[[#This Row],[РК]]+Список3[[#This Row],[Курсовая]]</f>
        <v>3</v>
      </c>
    </row>
    <row r="23" spans="2:25" x14ac:dyDescent="0.25">
      <c r="B23">
        <v>19</v>
      </c>
      <c r="C23" t="s">
        <v>89</v>
      </c>
      <c r="D23" t="s">
        <v>28</v>
      </c>
      <c r="E23" s="27" t="s">
        <v>111</v>
      </c>
      <c r="F23" s="31" t="s">
        <v>76</v>
      </c>
      <c r="G23" s="31" t="s">
        <v>76</v>
      </c>
      <c r="H23" s="14"/>
      <c r="I23" s="31"/>
      <c r="J23" s="31"/>
      <c r="K23" s="14"/>
      <c r="L23" s="31"/>
      <c r="M23" s="31"/>
      <c r="N23" s="31"/>
      <c r="O23" s="31"/>
      <c r="P23" s="31"/>
      <c r="Q23" s="31"/>
      <c r="R23" s="31"/>
      <c r="S23">
        <f>COUNTA(Список3[[#This Row],[14.фев]:[30.май]])</f>
        <v>2</v>
      </c>
      <c r="T23">
        <f>MAX(Список3[[#This Row],[14.фев]:[30.май]])*4+Список3[[#This Row],[Встреч]]</f>
        <v>2</v>
      </c>
      <c r="U23">
        <v>0</v>
      </c>
      <c r="X23">
        <f>Список3[[#This Row],[ПЗ]]+Список3[[#This Row],[РП]]</f>
        <v>0</v>
      </c>
      <c r="Y23">
        <f>Список3[[#This Row],[ЛР]]+Список3[[#This Row],[РК]]+Список3[[#This Row],[Курсовая]]</f>
        <v>2</v>
      </c>
    </row>
    <row r="24" spans="2:25" x14ac:dyDescent="0.25">
      <c r="B24">
        <v>20</v>
      </c>
      <c r="C24" t="s">
        <v>20</v>
      </c>
      <c r="D24" t="s">
        <v>29</v>
      </c>
      <c r="E24">
        <v>9</v>
      </c>
      <c r="F24" s="31" t="s">
        <v>76</v>
      </c>
      <c r="G24" s="31" t="s">
        <v>76</v>
      </c>
      <c r="H24" s="31">
        <v>1</v>
      </c>
      <c r="I24" s="31"/>
      <c r="J24" s="31"/>
      <c r="K24" s="14" t="s">
        <v>76</v>
      </c>
      <c r="L24" s="31">
        <v>2</v>
      </c>
      <c r="M24" s="31">
        <v>3</v>
      </c>
      <c r="N24" s="31">
        <v>4</v>
      </c>
      <c r="O24" s="31">
        <v>5</v>
      </c>
      <c r="P24" s="31"/>
      <c r="Q24" s="31"/>
      <c r="R24" s="31"/>
      <c r="S24">
        <f>COUNTA(Список3[[#This Row],[14.фев]:[30.май]])</f>
        <v>8</v>
      </c>
      <c r="T24">
        <f>MAX(Список3[[#This Row],[14.фев]:[30.май]])*4+Список3[[#This Row],[Встреч]]</f>
        <v>28</v>
      </c>
      <c r="U24">
        <f>$U$2-1</f>
        <v>14</v>
      </c>
      <c r="X24">
        <f>Список3[[#This Row],[ПЗ]]+Список3[[#This Row],[РП]]</f>
        <v>0</v>
      </c>
      <c r="Y24">
        <f>Список3[[#This Row],[ЛР]]+Список3[[#This Row],[РК]]+Список3[[#This Row],[Курсовая]]</f>
        <v>42</v>
      </c>
    </row>
    <row r="25" spans="2:25" x14ac:dyDescent="0.25">
      <c r="B25">
        <v>21</v>
      </c>
      <c r="C25" t="s">
        <v>21</v>
      </c>
      <c r="D25" t="s">
        <v>29</v>
      </c>
      <c r="E25">
        <v>21</v>
      </c>
      <c r="F25" s="31" t="s">
        <v>76</v>
      </c>
      <c r="G25" s="31" t="s">
        <v>76</v>
      </c>
      <c r="H25" s="14"/>
      <c r="I25" s="31" t="s">
        <v>76</v>
      </c>
      <c r="J25" s="31"/>
      <c r="K25" s="31">
        <v>1</v>
      </c>
      <c r="L25" s="31"/>
      <c r="M25" s="31">
        <v>2</v>
      </c>
      <c r="N25" s="31">
        <v>3</v>
      </c>
      <c r="O25" s="31">
        <v>4</v>
      </c>
      <c r="P25" s="31">
        <v>5</v>
      </c>
      <c r="Q25" s="31"/>
      <c r="R25" s="31"/>
      <c r="S25">
        <f>COUNTA(Список3[[#This Row],[14.фев]:[30.май]])</f>
        <v>8</v>
      </c>
      <c r="T25">
        <f>MAX(Список3[[#This Row],[14.фев]:[30.май]])*4+Список3[[#This Row],[Встреч]]</f>
        <v>28</v>
      </c>
      <c r="U25">
        <v>0</v>
      </c>
      <c r="X25">
        <f>Список3[[#This Row],[ПЗ]]+Список3[[#This Row],[РП]]</f>
        <v>0</v>
      </c>
      <c r="Y25">
        <f>Список3[[#This Row],[ЛР]]+Список3[[#This Row],[РК]]+Список3[[#This Row],[Курсовая]]</f>
        <v>28</v>
      </c>
    </row>
    <row r="26" spans="2:25" x14ac:dyDescent="0.25">
      <c r="B26">
        <v>22</v>
      </c>
      <c r="C26" t="s">
        <v>22</v>
      </c>
      <c r="D26" t="s">
        <v>29</v>
      </c>
      <c r="E26">
        <v>2</v>
      </c>
      <c r="F26" s="31" t="s">
        <v>76</v>
      </c>
      <c r="G26" s="31"/>
      <c r="H26" s="31">
        <v>1</v>
      </c>
      <c r="I26" s="31"/>
      <c r="J26" s="31" t="s">
        <v>76</v>
      </c>
      <c r="K26" s="31">
        <v>2</v>
      </c>
      <c r="L26" s="31"/>
      <c r="M26" s="31">
        <v>3</v>
      </c>
      <c r="N26" s="31">
        <v>4</v>
      </c>
      <c r="O26" s="31"/>
      <c r="P26" s="31">
        <v>5</v>
      </c>
      <c r="Q26" s="31"/>
      <c r="R26" s="31"/>
      <c r="S26">
        <f>COUNTA(Список3[[#This Row],[14.фев]:[30.май]])</f>
        <v>7</v>
      </c>
      <c r="T26">
        <f>MAX(Список3[[#This Row],[14.фев]:[30.май]])*4+Список3[[#This Row],[Встреч]]</f>
        <v>27</v>
      </c>
      <c r="U26">
        <f>$U$2-1</f>
        <v>14</v>
      </c>
      <c r="X26">
        <f>Список3[[#This Row],[ПЗ]]+Список3[[#This Row],[РП]]</f>
        <v>0</v>
      </c>
      <c r="Y26">
        <f>Список3[[#This Row],[ЛР]]+Список3[[#This Row],[РК]]+Список3[[#This Row],[Курсовая]]</f>
        <v>41</v>
      </c>
    </row>
    <row r="27" spans="2:25" x14ac:dyDescent="0.25">
      <c r="B27">
        <v>23</v>
      </c>
      <c r="C27" t="s">
        <v>23</v>
      </c>
      <c r="D27" t="s">
        <v>29</v>
      </c>
      <c r="E27">
        <v>7</v>
      </c>
      <c r="F27" s="31" t="s">
        <v>76</v>
      </c>
      <c r="G27" s="31" t="s">
        <v>76</v>
      </c>
      <c r="H27" s="14"/>
      <c r="I27" s="31"/>
      <c r="J27" s="31"/>
      <c r="K27" s="31"/>
      <c r="L27" s="31">
        <v>1</v>
      </c>
      <c r="M27" s="31">
        <v>2</v>
      </c>
      <c r="N27" s="31">
        <v>3</v>
      </c>
      <c r="O27" s="31">
        <v>4</v>
      </c>
      <c r="P27" s="31">
        <v>5</v>
      </c>
      <c r="Q27" s="31"/>
      <c r="R27" s="31"/>
      <c r="S27">
        <f>COUNTA(Список3[[#This Row],[14.фев]:[30.май]])</f>
        <v>7</v>
      </c>
      <c r="T27">
        <f>MAX(Список3[[#This Row],[14.фев]:[30.май]])*4+Список3[[#This Row],[Встреч]]</f>
        <v>27</v>
      </c>
      <c r="U27">
        <f>$U$2-7</f>
        <v>8</v>
      </c>
      <c r="X27">
        <f>Список3[[#This Row],[ПЗ]]+Список3[[#This Row],[РП]]</f>
        <v>0</v>
      </c>
      <c r="Y27">
        <f>Список3[[#This Row],[ЛР]]+Список3[[#This Row],[РК]]+Список3[[#This Row],[Курсовая]]</f>
        <v>35</v>
      </c>
    </row>
    <row r="28" spans="2:25" x14ac:dyDescent="0.25">
      <c r="B28">
        <v>24</v>
      </c>
      <c r="C28" t="s">
        <v>24</v>
      </c>
      <c r="D28" t="s">
        <v>29</v>
      </c>
      <c r="E28">
        <v>21</v>
      </c>
      <c r="F28" s="31" t="s">
        <v>76</v>
      </c>
      <c r="G28" s="31"/>
      <c r="H28" s="14"/>
      <c r="I28" s="31"/>
      <c r="J28" s="31"/>
      <c r="K28" s="31">
        <v>1</v>
      </c>
      <c r="L28" s="31" t="s">
        <v>76</v>
      </c>
      <c r="M28" s="31">
        <v>2</v>
      </c>
      <c r="N28" s="31">
        <v>3</v>
      </c>
      <c r="O28" s="31">
        <v>4</v>
      </c>
      <c r="P28" s="31">
        <v>5</v>
      </c>
      <c r="Q28" s="31"/>
      <c r="R28" s="31"/>
      <c r="S28">
        <f>COUNTA(Список3[[#This Row],[14.фев]:[30.май]])</f>
        <v>7</v>
      </c>
      <c r="T28">
        <f>MAX(Список3[[#This Row],[14.фев]:[30.май]])*4+Список3[[#This Row],[Встреч]]</f>
        <v>27</v>
      </c>
      <c r="U28">
        <v>0</v>
      </c>
      <c r="X28">
        <f>Список3[[#This Row],[ПЗ]]+Список3[[#This Row],[РП]]</f>
        <v>0</v>
      </c>
      <c r="Y28">
        <f>Список3[[#This Row],[ЛР]]+Список3[[#This Row],[РК]]+Список3[[#This Row],[Курсовая]]</f>
        <v>27</v>
      </c>
    </row>
    <row r="29" spans="2:25" x14ac:dyDescent="0.25">
      <c r="B29">
        <v>25</v>
      </c>
      <c r="C29" t="s">
        <v>25</v>
      </c>
      <c r="D29" t="s">
        <v>28</v>
      </c>
      <c r="E29">
        <v>15</v>
      </c>
      <c r="F29" s="31" t="s">
        <v>76</v>
      </c>
      <c r="G29" s="31" t="s">
        <v>76</v>
      </c>
      <c r="H29" s="31">
        <v>1</v>
      </c>
      <c r="I29" s="31">
        <v>2</v>
      </c>
      <c r="J29" s="31"/>
      <c r="K29" s="14"/>
      <c r="L29" s="31"/>
      <c r="M29" s="31">
        <v>3</v>
      </c>
      <c r="N29" s="31">
        <v>4</v>
      </c>
      <c r="O29" s="31"/>
      <c r="P29" s="31"/>
      <c r="Q29" s="31"/>
      <c r="R29" s="31"/>
      <c r="S29">
        <f>COUNTA(Список3[[#This Row],[14.фев]:[30.май]])</f>
        <v>6</v>
      </c>
      <c r="T29">
        <f>MAX(Список3[[#This Row],[14.фев]:[30.май]])*4+Список3[[#This Row],[Встреч]]</f>
        <v>22</v>
      </c>
      <c r="U29">
        <f>$U$2-1</f>
        <v>14</v>
      </c>
      <c r="X29">
        <f>Список3[[#This Row],[ПЗ]]+Список3[[#This Row],[РП]]</f>
        <v>0</v>
      </c>
      <c r="Y29">
        <f>Список3[[#This Row],[ЛР]]+Список3[[#This Row],[РК]]+Список3[[#This Row],[Курсовая]]</f>
        <v>36</v>
      </c>
    </row>
    <row r="30" spans="2:25" x14ac:dyDescent="0.25">
      <c r="B30">
        <v>26</v>
      </c>
      <c r="C30" t="s">
        <v>26</v>
      </c>
      <c r="D30" t="s">
        <v>28</v>
      </c>
      <c r="E30">
        <v>3</v>
      </c>
      <c r="F30" s="31" t="s">
        <v>76</v>
      </c>
      <c r="G30" s="31" t="s">
        <v>76</v>
      </c>
      <c r="H30" s="31">
        <v>1</v>
      </c>
      <c r="I30" s="31" t="s">
        <v>76</v>
      </c>
      <c r="J30" s="31"/>
      <c r="K30" s="31">
        <v>2</v>
      </c>
      <c r="L30" s="31">
        <v>3</v>
      </c>
      <c r="M30" s="31" t="s">
        <v>76</v>
      </c>
      <c r="N30" s="31" t="s">
        <v>76</v>
      </c>
      <c r="O30" s="31"/>
      <c r="P30" s="31">
        <v>4</v>
      </c>
      <c r="Q30" s="31"/>
      <c r="R30" s="31"/>
      <c r="S30">
        <f>COUNTA(Список3[[#This Row],[14.фев]:[30.май]])</f>
        <v>9</v>
      </c>
      <c r="T30">
        <f>MAX(Список3[[#This Row],[14.фев]:[30.май]])*4+Список3[[#This Row],[Встреч]]</f>
        <v>25</v>
      </c>
      <c r="U30">
        <f>$U$2-1</f>
        <v>14</v>
      </c>
      <c r="X30">
        <f>Список3[[#This Row],[ПЗ]]+Список3[[#This Row],[РП]]</f>
        <v>0</v>
      </c>
      <c r="Y30">
        <f>Список3[[#This Row],[ЛР]]+Список3[[#This Row],[РК]]+Список3[[#This Row],[Курсовая]]</f>
        <v>39</v>
      </c>
    </row>
    <row r="31" spans="2:25" x14ac:dyDescent="0.25">
      <c r="B31">
        <v>27</v>
      </c>
      <c r="C31" t="s">
        <v>27</v>
      </c>
      <c r="D31" t="s">
        <v>28</v>
      </c>
      <c r="E31">
        <v>1</v>
      </c>
      <c r="F31" s="31" t="s">
        <v>76</v>
      </c>
      <c r="G31" s="31" t="s">
        <v>76</v>
      </c>
      <c r="H31" s="31"/>
      <c r="I31" s="14">
        <v>1</v>
      </c>
      <c r="J31" s="31" t="s">
        <v>76</v>
      </c>
      <c r="K31" s="31">
        <v>2</v>
      </c>
      <c r="L31" s="14"/>
      <c r="M31" s="31"/>
      <c r="N31" s="31">
        <v>3</v>
      </c>
      <c r="O31" s="31" t="s">
        <v>76</v>
      </c>
      <c r="P31" s="31">
        <v>4</v>
      </c>
      <c r="Q31" s="31"/>
      <c r="R31" s="31"/>
      <c r="S31">
        <f>COUNTA(Список3[[#This Row],[14.фев]:[30.май]])</f>
        <v>8</v>
      </c>
      <c r="T31">
        <f>MAX(Список3[[#This Row],[14.фев]:[30.май]])*4+Список3[[#This Row],[Встреч]]</f>
        <v>24</v>
      </c>
      <c r="U31">
        <v>0</v>
      </c>
      <c r="X31">
        <f>Список3[[#This Row],[ПЗ]]+Список3[[#This Row],[РП]]</f>
        <v>0</v>
      </c>
      <c r="Y31">
        <f>Список3[[#This Row],[ЛР]]+Список3[[#This Row],[РК]]+Список3[[#This Row],[Курсовая]]</f>
        <v>24</v>
      </c>
    </row>
    <row r="32" spans="2:25" hidden="1" x14ac:dyDescent="0.25">
      <c r="F32" s="31"/>
      <c r="G32" s="9"/>
      <c r="H32" s="31"/>
      <c r="I32" s="14"/>
      <c r="J32" s="31"/>
      <c r="K32" s="31"/>
      <c r="L32" s="14"/>
      <c r="M32" s="31"/>
      <c r="N32" s="9"/>
      <c r="O32" s="9"/>
      <c r="P32" s="9"/>
      <c r="Q32" s="9"/>
      <c r="R32" s="9"/>
      <c r="X32">
        <f>Список3[[#This Row],[ПЗ]]+Список3[[#This Row],[РП]]</f>
        <v>0</v>
      </c>
      <c r="Y32">
        <v>100</v>
      </c>
    </row>
    <row r="33" spans="2:25" x14ac:dyDescent="0.25">
      <c r="B33" t="s">
        <v>79</v>
      </c>
      <c r="E33">
        <f>SUM(Список3[[#Totals],[14.фев]:[30.май]])</f>
        <v>25</v>
      </c>
      <c r="F33" s="9"/>
      <c r="G33" s="9">
        <f>SUBTOTAL(102,Список3[28.фев])</f>
        <v>0</v>
      </c>
      <c r="H33">
        <f>SUMIF(Список3[14.мар],1)</f>
        <v>14</v>
      </c>
      <c r="I33">
        <f>SUMIF(Список3[21.мар],1)</f>
        <v>4</v>
      </c>
      <c r="J33">
        <f>SUMIF(Список3[28.мар],1)</f>
        <v>0</v>
      </c>
      <c r="K33">
        <f>SUMIF(Список3[04.апр],1)</f>
        <v>2</v>
      </c>
      <c r="L33">
        <f>SUMIF(Список3[11.апр],1)</f>
        <v>5</v>
      </c>
      <c r="M33">
        <f>SUMIF(Список3[18.апр],1)</f>
        <v>0</v>
      </c>
      <c r="N33">
        <f>SUMIF(Список3[25.апр],1)</f>
        <v>0</v>
      </c>
      <c r="O33">
        <f>SUMIF(Список3[16.май],1)</f>
        <v>0</v>
      </c>
      <c r="P33">
        <f>SUMIF(Список3[23.май],1)</f>
        <v>0</v>
      </c>
      <c r="Q33">
        <f>SUMIF(Список3[30.май],1)</f>
        <v>0</v>
      </c>
      <c r="R33" s="34">
        <f>SUMIF(Список3[06.июн],1)</f>
        <v>0</v>
      </c>
      <c r="S33">
        <f>SUBTOTAL(104,Список3[Встреч])</f>
        <v>10</v>
      </c>
      <c r="T33">
        <f>E37</f>
        <v>14</v>
      </c>
      <c r="U33" s="25">
        <f>COUNTIF(Список3[РК],"&gt;0")</f>
        <v>16</v>
      </c>
      <c r="V33" s="25"/>
      <c r="W33" s="25"/>
      <c r="X33" s="25"/>
      <c r="Y33" s="33"/>
    </row>
    <row r="34" spans="2:25" x14ac:dyDescent="0.25">
      <c r="B34" s="11" t="s">
        <v>80</v>
      </c>
      <c r="C34" s="11"/>
      <c r="D34" s="11"/>
      <c r="E34">
        <f>SUM(I34:Q34)</f>
        <v>25</v>
      </c>
      <c r="F34" s="22"/>
      <c r="G34" s="9"/>
      <c r="I34" s="27">
        <f>COUNTIF(Список3[21.мар],2)</f>
        <v>6</v>
      </c>
      <c r="J34" s="27">
        <f>COUNTIF(Список3[28.мар],2)</f>
        <v>0</v>
      </c>
      <c r="K34" s="27">
        <f>COUNTIF(Список3[04.апр],2)</f>
        <v>8</v>
      </c>
      <c r="L34" s="27">
        <f>COUNTIF(Список3[11.апр],2)</f>
        <v>4</v>
      </c>
      <c r="M34" s="27">
        <f>COUNTIF(Список3[18.апр],2)</f>
        <v>7</v>
      </c>
      <c r="N34" s="27">
        <f>COUNTIF(Список3[25.апр],2)</f>
        <v>0</v>
      </c>
      <c r="O34" s="27">
        <f>COUNTIF(Список3[16.май],2)</f>
        <v>0</v>
      </c>
      <c r="P34" s="27">
        <f>COUNTIF(Список3[23.май],2)</f>
        <v>0</v>
      </c>
      <c r="Q34" s="27">
        <f>COUNTIF(Список3[30.май],2)</f>
        <v>0</v>
      </c>
      <c r="R34" s="35">
        <f>COUNTIF(Список3[06.июн],2)</f>
        <v>0</v>
      </c>
    </row>
    <row r="35" spans="2:25" x14ac:dyDescent="0.25">
      <c r="B35" s="11" t="s">
        <v>81</v>
      </c>
      <c r="C35" s="11"/>
      <c r="D35" s="11"/>
      <c r="E35">
        <f>SUM(I35:Q35)</f>
        <v>25</v>
      </c>
      <c r="F35" s="22"/>
      <c r="H35" s="9"/>
      <c r="I35">
        <f>COUNTIF(Список3[28.мар],3)</f>
        <v>0</v>
      </c>
      <c r="J35">
        <f>COUNTIF(Список3[04.апр],3)</f>
        <v>0</v>
      </c>
      <c r="K35">
        <f>COUNTIF(Список3[11.апр],3)</f>
        <v>4</v>
      </c>
      <c r="L35">
        <f>COUNTIF(Список3[18.апр],3)</f>
        <v>12</v>
      </c>
      <c r="M35">
        <f>COUNTIF(Список3[25.апр],3)</f>
        <v>6</v>
      </c>
      <c r="N35">
        <f>COUNTIF(Список3[16.май],3)</f>
        <v>0</v>
      </c>
      <c r="O35">
        <f>COUNTIF(Список3[23.май],3)</f>
        <v>3</v>
      </c>
      <c r="P35">
        <f>COUNTIF(Список3[30.май],3)</f>
        <v>0</v>
      </c>
      <c r="Q35" s="27">
        <f>COUNTIF(Список3[30.май],2)</f>
        <v>0</v>
      </c>
      <c r="R35" s="35">
        <f>COUNTIF(Список3[06.июн],2)</f>
        <v>0</v>
      </c>
    </row>
    <row r="36" spans="2:25" x14ac:dyDescent="0.25">
      <c r="B36" s="11" t="s">
        <v>82</v>
      </c>
      <c r="C36" s="11"/>
      <c r="D36" s="11"/>
      <c r="E36">
        <f>SUM(J36:Q36)</f>
        <v>22</v>
      </c>
      <c r="F36" s="22"/>
      <c r="H36" s="9"/>
      <c r="J36">
        <f>COUNTIF(Список3[28.мар],4)</f>
        <v>0</v>
      </c>
      <c r="K36">
        <f>COUNTIF(Список3[04.апр],4)</f>
        <v>0</v>
      </c>
      <c r="L36">
        <f>COUNTIF(Список3[11.апр],4)</f>
        <v>0</v>
      </c>
      <c r="M36">
        <f>COUNTIF(Список3[18.апр],4)</f>
        <v>0</v>
      </c>
      <c r="N36">
        <f>COUNTIF(Список3[25.апр],4)</f>
        <v>12</v>
      </c>
      <c r="O36">
        <f>COUNTIF(Список3[16.май],4)</f>
        <v>4</v>
      </c>
      <c r="P36">
        <f>COUNTIF(Список3[23.май],4)</f>
        <v>6</v>
      </c>
      <c r="Q36" s="27">
        <f>COUNTIF(Список3[30.май],2)</f>
        <v>0</v>
      </c>
      <c r="R36" s="35">
        <f>COUNTIF(Список3[06.июн],2)</f>
        <v>0</v>
      </c>
    </row>
    <row r="37" spans="2:25" x14ac:dyDescent="0.25">
      <c r="B37" s="11" t="s">
        <v>103</v>
      </c>
      <c r="E37">
        <f>SUM(J37:Q37)</f>
        <v>14</v>
      </c>
      <c r="K37">
        <f>COUNTIF(Список3[04.апр],5)</f>
        <v>0</v>
      </c>
      <c r="L37">
        <f>COUNTIF(Список3[11.апр],5)</f>
        <v>0</v>
      </c>
      <c r="M37">
        <f>COUNTIF(Список3[18.апр],5)</f>
        <v>0</v>
      </c>
      <c r="N37">
        <f>COUNTIF(Список3[25.апр],5)</f>
        <v>0</v>
      </c>
      <c r="O37">
        <f>COUNTIF(Список3[16.май],5)</f>
        <v>4</v>
      </c>
      <c r="P37">
        <f>COUNTIF(Список3[23.май],5)</f>
        <v>10</v>
      </c>
      <c r="Q37" s="27">
        <f>COUNTIF(Список3[30.май],2)</f>
        <v>0</v>
      </c>
      <c r="R37" s="35">
        <f>COUNTIF(Список3[06.июн],2)</f>
        <v>0</v>
      </c>
      <c r="X37" t="s">
        <v>109</v>
      </c>
    </row>
  </sheetData>
  <mergeCells count="5">
    <mergeCell ref="O2:P2"/>
    <mergeCell ref="F2:G2"/>
    <mergeCell ref="H2:I2"/>
    <mergeCell ref="J2:K2"/>
    <mergeCell ref="M2:N2"/>
  </mergeCells>
  <phoneticPr fontId="5" type="noConversion"/>
  <conditionalFormatting sqref="E33:E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:S3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{F77EFEC7-F308-4B81-AAC1-254C93C39F86}</x14:id>
        </ext>
      </extLst>
    </cfRule>
  </conditionalFormatting>
  <conditionalFormatting sqref="T5:T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:Y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{0CEDAEBA-AF0F-4BB1-9AF3-7A1C577B19F1}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EFEC7-F308-4B81-AAC1-254C93C39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S35:S36</xm:sqref>
        </x14:conditionalFormatting>
        <x14:conditionalFormatting xmlns:xm="http://schemas.microsoft.com/office/excel/2006/main">
          <x14:cfRule type="dataBar" id="{0CEDAEBA-AF0F-4BB1-9AF3-7A1C577B19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Y5:Y32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25"/>
  <sheetViews>
    <sheetView workbookViewId="0">
      <selection activeCell="G15" sqref="G15"/>
    </sheetView>
  </sheetViews>
  <sheetFormatPr defaultRowHeight="15" x14ac:dyDescent="0.25"/>
  <cols>
    <col min="1" max="1" width="17.28515625" bestFit="1" customWidth="1"/>
    <col min="2" max="2" width="31.5703125" bestFit="1" customWidth="1"/>
    <col min="3" max="3" width="16.140625" customWidth="1"/>
    <col min="4" max="5" width="10.7109375" customWidth="1"/>
  </cols>
  <sheetData>
    <row r="3" spans="1:5" x14ac:dyDescent="0.25">
      <c r="A3" s="2" t="s">
        <v>52</v>
      </c>
      <c r="B3" t="s">
        <v>54</v>
      </c>
      <c r="C3" t="s">
        <v>55</v>
      </c>
      <c r="D3" t="s">
        <v>56</v>
      </c>
      <c r="E3" t="s">
        <v>57</v>
      </c>
    </row>
    <row r="4" spans="1:5" x14ac:dyDescent="0.25">
      <c r="A4" s="6" t="s">
        <v>34</v>
      </c>
      <c r="B4">
        <v>3</v>
      </c>
      <c r="C4">
        <v>1</v>
      </c>
      <c r="D4">
        <v>1</v>
      </c>
      <c r="E4">
        <v>1</v>
      </c>
    </row>
    <row r="5" spans="1:5" x14ac:dyDescent="0.25">
      <c r="A5" s="4" t="s">
        <v>32</v>
      </c>
      <c r="B5">
        <v>2</v>
      </c>
    </row>
    <row r="6" spans="1:5" x14ac:dyDescent="0.25">
      <c r="A6" s="4" t="s">
        <v>36</v>
      </c>
      <c r="B6">
        <v>2</v>
      </c>
    </row>
    <row r="7" spans="1:5" x14ac:dyDescent="0.25">
      <c r="A7" s="4" t="s">
        <v>39</v>
      </c>
      <c r="B7">
        <v>2</v>
      </c>
    </row>
    <row r="8" spans="1:5" x14ac:dyDescent="0.25">
      <c r="A8" s="4" t="s">
        <v>40</v>
      </c>
      <c r="B8">
        <v>2</v>
      </c>
    </row>
    <row r="9" spans="1:5" x14ac:dyDescent="0.25">
      <c r="A9" s="6" t="s">
        <v>30</v>
      </c>
      <c r="B9">
        <v>1</v>
      </c>
      <c r="C9">
        <v>1</v>
      </c>
      <c r="D9">
        <v>1</v>
      </c>
      <c r="E9">
        <v>1</v>
      </c>
    </row>
    <row r="10" spans="1:5" x14ac:dyDescent="0.25">
      <c r="A10" s="7" t="s">
        <v>44</v>
      </c>
      <c r="B10">
        <v>1</v>
      </c>
    </row>
    <row r="11" spans="1:5" x14ac:dyDescent="0.25">
      <c r="A11" s="4" t="s">
        <v>43</v>
      </c>
      <c r="B11">
        <v>1</v>
      </c>
    </row>
    <row r="12" spans="1:5" x14ac:dyDescent="0.25">
      <c r="A12" s="7" t="s">
        <v>38</v>
      </c>
      <c r="B12">
        <v>1</v>
      </c>
    </row>
    <row r="13" spans="1:5" x14ac:dyDescent="0.25">
      <c r="A13" s="6" t="s">
        <v>50</v>
      </c>
      <c r="B13">
        <v>1</v>
      </c>
      <c r="C13">
        <v>1</v>
      </c>
      <c r="D13">
        <v>1</v>
      </c>
      <c r="E13">
        <v>1</v>
      </c>
    </row>
    <row r="14" spans="1:5" x14ac:dyDescent="0.25">
      <c r="A14" s="4" t="s">
        <v>33</v>
      </c>
      <c r="B14">
        <v>1</v>
      </c>
    </row>
    <row r="15" spans="1:5" x14ac:dyDescent="0.25">
      <c r="A15" s="4" t="s">
        <v>35</v>
      </c>
      <c r="B15">
        <v>1</v>
      </c>
    </row>
    <row r="16" spans="1:5" x14ac:dyDescent="0.25">
      <c r="A16" s="4" t="s">
        <v>37</v>
      </c>
      <c r="B16">
        <v>1</v>
      </c>
    </row>
    <row r="17" spans="1:5" x14ac:dyDescent="0.25">
      <c r="A17" s="4" t="s">
        <v>46</v>
      </c>
      <c r="B17">
        <v>1</v>
      </c>
    </row>
    <row r="18" spans="1:5" x14ac:dyDescent="0.25">
      <c r="A18" s="6" t="s">
        <v>41</v>
      </c>
      <c r="B18">
        <v>1</v>
      </c>
      <c r="C18">
        <v>1</v>
      </c>
      <c r="D18">
        <v>1</v>
      </c>
      <c r="E18">
        <v>1</v>
      </c>
    </row>
    <row r="19" spans="1:5" x14ac:dyDescent="0.25">
      <c r="A19" s="4" t="s">
        <v>47</v>
      </c>
      <c r="B19">
        <v>1</v>
      </c>
    </row>
    <row r="20" spans="1:5" x14ac:dyDescent="0.25">
      <c r="A20" s="6" t="s">
        <v>45</v>
      </c>
      <c r="B20">
        <v>1</v>
      </c>
      <c r="C20">
        <v>1</v>
      </c>
      <c r="D20">
        <v>1</v>
      </c>
      <c r="E20">
        <v>1</v>
      </c>
    </row>
    <row r="21" spans="1:5" x14ac:dyDescent="0.25">
      <c r="A21" s="7" t="s">
        <v>48</v>
      </c>
      <c r="B21">
        <v>1</v>
      </c>
    </row>
    <row r="22" spans="1:5" x14ac:dyDescent="0.25">
      <c r="A22" s="7" t="s">
        <v>49</v>
      </c>
      <c r="B22">
        <v>1</v>
      </c>
    </row>
    <row r="23" spans="1:5" x14ac:dyDescent="0.25">
      <c r="A23" s="6" t="s">
        <v>42</v>
      </c>
      <c r="B23">
        <v>1</v>
      </c>
      <c r="C23">
        <v>1</v>
      </c>
      <c r="D23">
        <v>1</v>
      </c>
      <c r="E23">
        <v>1</v>
      </c>
    </row>
    <row r="24" spans="1:5" x14ac:dyDescent="0.25">
      <c r="A24" s="7" t="s">
        <v>31</v>
      </c>
      <c r="B24">
        <v>1</v>
      </c>
    </row>
    <row r="25" spans="1:5" x14ac:dyDescent="0.25">
      <c r="A25" s="3" t="s">
        <v>53</v>
      </c>
      <c r="B25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5"/>
  <sheetViews>
    <sheetView workbookViewId="0">
      <selection activeCell="F25" sqref="F25"/>
    </sheetView>
  </sheetViews>
  <sheetFormatPr defaultRowHeight="15" x14ac:dyDescent="0.25"/>
  <cols>
    <col min="2" max="2" width="17.28515625" bestFit="1" customWidth="1"/>
    <col min="3" max="3" width="31.140625" bestFit="1" customWidth="1"/>
  </cols>
  <sheetData>
    <row r="2" spans="2:3" x14ac:dyDescent="0.25">
      <c r="B2" s="2" t="s">
        <v>52</v>
      </c>
      <c r="C2" t="s">
        <v>59</v>
      </c>
    </row>
    <row r="3" spans="2:3" x14ac:dyDescent="0.25">
      <c r="B3" s="3" t="s">
        <v>28</v>
      </c>
      <c r="C3" s="5">
        <v>0.59259259259259256</v>
      </c>
    </row>
    <row r="4" spans="2:3" x14ac:dyDescent="0.25">
      <c r="B4" s="3" t="s">
        <v>29</v>
      </c>
      <c r="C4" s="5">
        <v>0.40740740740740738</v>
      </c>
    </row>
    <row r="5" spans="2:3" x14ac:dyDescent="0.25">
      <c r="B5" s="3" t="s">
        <v>53</v>
      </c>
      <c r="C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Модели данных</vt:lpstr>
      <vt:lpstr>Базы данных</vt:lpstr>
      <vt:lpstr>Имена</vt:lpstr>
      <vt:lpstr>Пол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Artemyev</dc:creator>
  <cp:lastModifiedBy>Valery Artemyev</cp:lastModifiedBy>
  <dcterms:created xsi:type="dcterms:W3CDTF">2025-11-04T13:07:09Z</dcterms:created>
  <dcterms:modified xsi:type="dcterms:W3CDTF">2026-05-29T21:35:54Z</dcterms:modified>
</cp:coreProperties>
</file>